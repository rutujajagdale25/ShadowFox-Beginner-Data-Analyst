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UTUJA\Downloads\"/>
    </mc:Choice>
  </mc:AlternateContent>
  <xr:revisionPtr revIDLastSave="0" documentId="8_{F6481651-1BA9-4FDB-A835-F7D59895208B}" xr6:coauthVersionLast="47" xr6:coauthVersionMax="47" xr10:uidLastSave="{00000000-0000-0000-0000-000000000000}"/>
  <bookViews>
    <workbookView xWindow="1776" yWindow="1776" windowWidth="17280" windowHeight="9960" firstSheet="3" activeTab="3" xr2:uid="{00000000-000D-0000-FFFF-FFFF00000000}"/>
  </bookViews>
  <sheets>
    <sheet name="Raw_Data" sheetId="1" r:id="rId1"/>
    <sheet name="Clean_Data" sheetId="2" r:id="rId2"/>
    <sheet name="Detail1" sheetId="8" r:id="rId3"/>
    <sheet name="Pivot_Analysis" sheetId="6" r:id="rId4"/>
    <sheet name="Dashboard" sheetId="7" r:id="rId5"/>
    <sheet name="Insights" sheetId="5" r:id="rId6"/>
  </sheets>
  <definedNames>
    <definedName name="_xlnm._FilterDatabase" localSheetId="1" hidden="1">Clean_Data!$A$1:$Q$101</definedName>
    <definedName name="_xlnm._FilterDatabase" localSheetId="0" hidden="1">Raw_Data!$A$1:$Q$101</definedName>
    <definedName name="Slicer_Category">#N/A</definedName>
    <definedName name="Slicer_Month_Name">#N/A</definedName>
    <definedName name="Slicer_Payment_Mode">#N/A</definedName>
    <definedName name="Slicer_Product">#N/A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6" l="1"/>
  <c r="J6" i="7"/>
  <c r="H6" i="7"/>
  <c r="F6" i="7"/>
  <c r="D6" i="7"/>
  <c r="B6" i="7"/>
  <c r="K11" i="6"/>
  <c r="K8" i="6"/>
  <c r="K17" i="6"/>
  <c r="K14"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<sst xmlns="http://schemas.openxmlformats.org/spreadsheetml/2006/main" count="1707" uniqueCount="268">
  <si>
    <t>Order_ID</t>
  </si>
  <si>
    <t>Order_Date</t>
  </si>
  <si>
    <t>Customer_Name</t>
  </si>
  <si>
    <t>Region</t>
  </si>
  <si>
    <t>Category</t>
  </si>
  <si>
    <t>Product</t>
  </si>
  <si>
    <t>Quantity</t>
  </si>
  <si>
    <t>Unit_Price</t>
  </si>
  <si>
    <t>Discount</t>
  </si>
  <si>
    <t>Payment_Mode</t>
  </si>
  <si>
    <t>Sales</t>
  </si>
  <si>
    <t>Cost</t>
  </si>
  <si>
    <t>Profit</t>
  </si>
  <si>
    <t>Profit_%</t>
  </si>
  <si>
    <t>Month</t>
  </si>
  <si>
    <t>Month_Name</t>
  </si>
  <si>
    <t>Year</t>
  </si>
  <si>
    <t>ORD001</t>
  </si>
  <si>
    <t>Pooja Jadhav</t>
  </si>
  <si>
    <t>North</t>
  </si>
  <si>
    <t>Electronics</t>
  </si>
  <si>
    <t>Laptop</t>
  </si>
  <si>
    <t>UPI</t>
  </si>
  <si>
    <t>Nov</t>
  </si>
  <si>
    <t>ORD002</t>
  </si>
  <si>
    <t>Aditya Kulkarni</t>
  </si>
  <si>
    <t>Furniture</t>
  </si>
  <si>
    <t>Office Chair</t>
  </si>
  <si>
    <t>Credit Card</t>
  </si>
  <si>
    <t>Oct</t>
  </si>
  <si>
    <t>ORD003</t>
  </si>
  <si>
    <t>Sahil Chavan</t>
  </si>
  <si>
    <t>East</t>
  </si>
  <si>
    <t>Clothing</t>
  </si>
  <si>
    <t>Dress</t>
  </si>
  <si>
    <t>ORD004</t>
  </si>
  <si>
    <t>Rohan Kulkarni</t>
  </si>
  <si>
    <t>Sneakers</t>
  </si>
  <si>
    <t>Mar</t>
  </si>
  <si>
    <t>ORD005</t>
  </si>
  <si>
    <t>Shreya Deshmukh</t>
  </si>
  <si>
    <t>Cash</t>
  </si>
  <si>
    <t>Feb</t>
  </si>
  <si>
    <t>ORD006</t>
  </si>
  <si>
    <t>Ananya Chavan</t>
  </si>
  <si>
    <t>Smart Watch</t>
  </si>
  <si>
    <t>ORD007</t>
  </si>
  <si>
    <t>Rahul Kulkarni</t>
  </si>
  <si>
    <t>Dec</t>
  </si>
  <si>
    <t>ORD008</t>
  </si>
  <si>
    <t>Isha Kulkarni</t>
  </si>
  <si>
    <t>Bookshelf</t>
  </si>
  <si>
    <t>May</t>
  </si>
  <si>
    <t>ORD009</t>
  </si>
  <si>
    <t>West</t>
  </si>
  <si>
    <t>Jeans</t>
  </si>
  <si>
    <t>ORD010</t>
  </si>
  <si>
    <t>Karan Sharma</t>
  </si>
  <si>
    <t>South</t>
  </si>
  <si>
    <t>ORD011</t>
  </si>
  <si>
    <t>Amit Joshi</t>
  </si>
  <si>
    <t>Jun</t>
  </si>
  <si>
    <t>ORD012</t>
  </si>
  <si>
    <t>Jul</t>
  </si>
  <si>
    <t>ORD013</t>
  </si>
  <si>
    <t>Arjun More</t>
  </si>
  <si>
    <t>ORD014</t>
  </si>
  <si>
    <t>Rahul Pawar</t>
  </si>
  <si>
    <t>Smartphone</t>
  </si>
  <si>
    <t>ORD015</t>
  </si>
  <si>
    <t>Sneha Kadam</t>
  </si>
  <si>
    <t>Desk Lamp</t>
  </si>
  <si>
    <t>Debit Card</t>
  </si>
  <si>
    <t>Sep</t>
  </si>
  <si>
    <t>ORD016</t>
  </si>
  <si>
    <t>Aarav Deshmukh</t>
  </si>
  <si>
    <t>Sofa</t>
  </si>
  <si>
    <t>ORD017</t>
  </si>
  <si>
    <t>Rohan Joshi</t>
  </si>
  <si>
    <t>ORD018</t>
  </si>
  <si>
    <t>Isha Deshmukh</t>
  </si>
  <si>
    <t>ORD019</t>
  </si>
  <si>
    <t>Kavya Patil</t>
  </si>
  <si>
    <t>Jacket</t>
  </si>
  <si>
    <t>ORD020</t>
  </si>
  <si>
    <t>Arjun Chavan</t>
  </si>
  <si>
    <t>ORD021</t>
  </si>
  <si>
    <t>Isha More</t>
  </si>
  <si>
    <t>ORD022</t>
  </si>
  <si>
    <t>Amit Kadam</t>
  </si>
  <si>
    <t>ORD023</t>
  </si>
  <si>
    <t>Priya Joshi</t>
  </si>
  <si>
    <t>Jan</t>
  </si>
  <si>
    <t>ORD024</t>
  </si>
  <si>
    <t>Rohan Chavan</t>
  </si>
  <si>
    <t>ORD025</t>
  </si>
  <si>
    <t>Meera Joshi</t>
  </si>
  <si>
    <t>Study Table</t>
  </si>
  <si>
    <t>Aug</t>
  </si>
  <si>
    <t>ORD026</t>
  </si>
  <si>
    <t>Nikhil Joshi</t>
  </si>
  <si>
    <t>ORD027</t>
  </si>
  <si>
    <t>Meera Jadhav</t>
  </si>
  <si>
    <t>Tablet</t>
  </si>
  <si>
    <t>Apr</t>
  </si>
  <si>
    <t>ORD028</t>
  </si>
  <si>
    <t>Priya Kadam</t>
  </si>
  <si>
    <t>ORD029</t>
  </si>
  <si>
    <t>Aditya Pawar</t>
  </si>
  <si>
    <t>ORD030</t>
  </si>
  <si>
    <t>Ananya Pawar</t>
  </si>
  <si>
    <t>ORD031</t>
  </si>
  <si>
    <t>Riya Sharma</t>
  </si>
  <si>
    <t>ORD032</t>
  </si>
  <si>
    <t>Neha Sharma</t>
  </si>
  <si>
    <t>ORD033</t>
  </si>
  <si>
    <t>Sneha Chavan</t>
  </si>
  <si>
    <t>ORD034</t>
  </si>
  <si>
    <t>Arjun Joshi</t>
  </si>
  <si>
    <t>ORD035</t>
  </si>
  <si>
    <t>Nikhil Jadhav</t>
  </si>
  <si>
    <t>T-Shirt</t>
  </si>
  <si>
    <t>ORD036</t>
  </si>
  <si>
    <t>Amit Patil</t>
  </si>
  <si>
    <t>ORD037</t>
  </si>
  <si>
    <t>Pooja Joshi</t>
  </si>
  <si>
    <t>ORD038</t>
  </si>
  <si>
    <t>Arjun Sharma</t>
  </si>
  <si>
    <t>ORD039</t>
  </si>
  <si>
    <t>Riya Jadhav</t>
  </si>
  <si>
    <t>ORD040</t>
  </si>
  <si>
    <t>Vikram Kadam</t>
  </si>
  <si>
    <t>Headphones</t>
  </si>
  <si>
    <t>ORD041</t>
  </si>
  <si>
    <t>Aarav Joshi</t>
  </si>
  <si>
    <t>ORD042</t>
  </si>
  <si>
    <t>Meera Kadam</t>
  </si>
  <si>
    <t>ORD043</t>
  </si>
  <si>
    <t>Isha Chavan</t>
  </si>
  <si>
    <t>ORD044</t>
  </si>
  <si>
    <t>ORD045</t>
  </si>
  <si>
    <t>ORD046</t>
  </si>
  <si>
    <t>Pooja Deshmukh</t>
  </si>
  <si>
    <t>ORD047</t>
  </si>
  <si>
    <t>Sahil Joshi</t>
  </si>
  <si>
    <t>ORD048</t>
  </si>
  <si>
    <t>Vikram Patil</t>
  </si>
  <si>
    <t>ORD049</t>
  </si>
  <si>
    <t>Aarav Patil</t>
  </si>
  <si>
    <t>ORD050</t>
  </si>
  <si>
    <t>ORD051</t>
  </si>
  <si>
    <t>Aditya Deshmukh</t>
  </si>
  <si>
    <t>ORD052</t>
  </si>
  <si>
    <t>Meera Patil</t>
  </si>
  <si>
    <t>ORD053</t>
  </si>
  <si>
    <t>ORD054</t>
  </si>
  <si>
    <t>ORD055</t>
  </si>
  <si>
    <t>Meera Chavan</t>
  </si>
  <si>
    <t>ORD056</t>
  </si>
  <si>
    <t>Neha Patil</t>
  </si>
  <si>
    <t>ORD057</t>
  </si>
  <si>
    <t>Rohan Sharma</t>
  </si>
  <si>
    <t>ORD058</t>
  </si>
  <si>
    <t>Amit Kulkarni</t>
  </si>
  <si>
    <t>ORD059</t>
  </si>
  <si>
    <t>Meera Kulkarni</t>
  </si>
  <si>
    <t>ORD060</t>
  </si>
  <si>
    <t>Rohan More</t>
  </si>
  <si>
    <t>ORD061</t>
  </si>
  <si>
    <t>Sahil Jadhav</t>
  </si>
  <si>
    <t>ORD062</t>
  </si>
  <si>
    <t>ORD063</t>
  </si>
  <si>
    <t>Riya Patil</t>
  </si>
  <si>
    <t>ORD064</t>
  </si>
  <si>
    <t>Meera Pawar</t>
  </si>
  <si>
    <t>ORD065</t>
  </si>
  <si>
    <t>Amit Sharma</t>
  </si>
  <si>
    <t>ORD066</t>
  </si>
  <si>
    <t>Riya Kadam</t>
  </si>
  <si>
    <t>ORD067</t>
  </si>
  <si>
    <t>ORD068</t>
  </si>
  <si>
    <t>Nikhil Chavan</t>
  </si>
  <si>
    <t>ORD069</t>
  </si>
  <si>
    <t>Priya Deshmukh</t>
  </si>
  <si>
    <t>ORD070</t>
  </si>
  <si>
    <t>Vikram Pawar</t>
  </si>
  <si>
    <t>ORD071</t>
  </si>
  <si>
    <t>Pooja Patil</t>
  </si>
  <si>
    <t>ORD072</t>
  </si>
  <si>
    <t>ORD073</t>
  </si>
  <si>
    <t>Neha Chavan</t>
  </si>
  <si>
    <t>ORD074</t>
  </si>
  <si>
    <t>Amit Pawar</t>
  </si>
  <si>
    <t>ORD075</t>
  </si>
  <si>
    <t>ORD076</t>
  </si>
  <si>
    <t>ORD077</t>
  </si>
  <si>
    <t>ORD078</t>
  </si>
  <si>
    <t>Kavya More</t>
  </si>
  <si>
    <t>ORD079</t>
  </si>
  <si>
    <t>Pooja More</t>
  </si>
  <si>
    <t>ORD080</t>
  </si>
  <si>
    <t>Aditya Joshi</t>
  </si>
  <si>
    <t>ORD081</t>
  </si>
  <si>
    <t>Arjun Kulkarni</t>
  </si>
  <si>
    <t>ORD082</t>
  </si>
  <si>
    <t>ORD083</t>
  </si>
  <si>
    <t>ORD084</t>
  </si>
  <si>
    <t>Riya Joshi</t>
  </si>
  <si>
    <t>ORD085</t>
  </si>
  <si>
    <t>ORD086</t>
  </si>
  <si>
    <t>ORD087</t>
  </si>
  <si>
    <t>Ananya Sharma</t>
  </si>
  <si>
    <t>ORD088</t>
  </si>
  <si>
    <t>ORD089</t>
  </si>
  <si>
    <t>Karan Jadhav</t>
  </si>
  <si>
    <t>ORD090</t>
  </si>
  <si>
    <t>Rahul Chavan</t>
  </si>
  <si>
    <t>ORD091</t>
  </si>
  <si>
    <t>ORD092</t>
  </si>
  <si>
    <t>ORD093</t>
  </si>
  <si>
    <t>ORD094</t>
  </si>
  <si>
    <t>Aarav Pawar</t>
  </si>
  <si>
    <t>ORD095</t>
  </si>
  <si>
    <t>Ananya More</t>
  </si>
  <si>
    <t>ORD096</t>
  </si>
  <si>
    <t>ORD097</t>
  </si>
  <si>
    <t>ORD098</t>
  </si>
  <si>
    <t>Arjun Kadam</t>
  </si>
  <si>
    <t>ORD099</t>
  </si>
  <si>
    <t>Karan Chavan</t>
  </si>
  <si>
    <t>ORD100</t>
  </si>
  <si>
    <t>Vikram Chavan</t>
  </si>
  <si>
    <t>Grand Total</t>
  </si>
  <si>
    <t>Sum of Sales</t>
  </si>
  <si>
    <t>PIVOT TABLE</t>
  </si>
  <si>
    <t>Sum of Profit</t>
  </si>
  <si>
    <t>KPI CARDS</t>
  </si>
  <si>
    <t>CHARTS</t>
  </si>
  <si>
    <t>Total Sales</t>
  </si>
  <si>
    <t>Total Profit</t>
  </si>
  <si>
    <t>Total Orders</t>
  </si>
  <si>
    <t>Units Sold</t>
  </si>
  <si>
    <t>Profit Margin</t>
  </si>
  <si>
    <t>Details for Sum of Sales - Region: North</t>
  </si>
  <si>
    <t>SALES PERFORMANCE DASHBOARD</t>
  </si>
  <si>
    <t>SALES PERFORMANCE INSIGHTS</t>
  </si>
  <si>
    <t>1. Total Sales</t>
  </si>
  <si>
    <t>2. Total Profit</t>
  </si>
  <si>
    <t>3. Best Region</t>
  </si>
  <si>
    <t>4. Best Category</t>
  </si>
  <si>
    <t>5. Best Profit Category</t>
  </si>
  <si>
    <t>6. Best Month</t>
  </si>
  <si>
    <t>7. Best Product</t>
  </si>
  <si>
    <t>8. Profit Margin</t>
  </si>
  <si>
    <r>
      <t xml:space="preserve">Total sales are </t>
    </r>
    <r>
      <rPr>
        <b/>
        <sz val="14"/>
        <color theme="1"/>
        <rFont val="Arial Rounded MT Bold"/>
        <family val="2"/>
      </rPr>
      <t>₹35,37,815</t>
    </r>
    <r>
      <rPr>
        <sz val="14"/>
        <color theme="1"/>
        <rFont val="Arial Rounded MT Bold"/>
        <family val="2"/>
      </rPr>
      <t>.</t>
    </r>
  </si>
  <si>
    <r>
      <t xml:space="preserve">Total profit is </t>
    </r>
    <r>
      <rPr>
        <b/>
        <sz val="14"/>
        <color theme="1"/>
        <rFont val="Arial Rounded MT Bold"/>
        <family val="2"/>
      </rPr>
      <t>₹10,38,081.10</t>
    </r>
    <r>
      <rPr>
        <sz val="14"/>
        <color theme="1"/>
        <rFont val="Arial Rounded MT Bold"/>
        <family val="2"/>
      </rPr>
      <t>.</t>
    </r>
  </si>
  <si>
    <r>
      <t>North</t>
    </r>
    <r>
      <rPr>
        <sz val="14"/>
        <color theme="1"/>
        <rFont val="Arial Rounded MT Bold"/>
        <family val="2"/>
      </rPr>
      <t xml:space="preserve"> has the highest sales with </t>
    </r>
    <r>
      <rPr>
        <b/>
        <sz val="14"/>
        <color theme="1"/>
        <rFont val="Arial Rounded MT Bold"/>
        <family val="2"/>
      </rPr>
      <t>₹14,05,180</t>
    </r>
    <r>
      <rPr>
        <sz val="14"/>
        <color theme="1"/>
        <rFont val="Arial Rounded MT Bold"/>
        <family val="2"/>
      </rPr>
      <t>.</t>
    </r>
  </si>
  <si>
    <r>
      <t>Electronics</t>
    </r>
    <r>
      <rPr>
        <sz val="14"/>
        <color theme="1"/>
        <rFont val="Arial Rounded MT Bold"/>
        <family val="2"/>
      </rPr>
      <t xml:space="preserve"> has the highest sales with </t>
    </r>
    <r>
      <rPr>
        <b/>
        <sz val="14"/>
        <color theme="1"/>
        <rFont val="Arial Rounded MT Bold"/>
        <family val="2"/>
      </rPr>
      <t>₹26,47,575</t>
    </r>
    <r>
      <rPr>
        <sz val="14"/>
        <color theme="1"/>
        <rFont val="Arial Rounded MT Bold"/>
        <family val="2"/>
      </rPr>
      <t>.</t>
    </r>
  </si>
  <si>
    <r>
      <t>Electronics</t>
    </r>
    <r>
      <rPr>
        <sz val="14"/>
        <color theme="1"/>
        <rFont val="Arial Rounded MT Bold"/>
        <family val="2"/>
      </rPr>
      <t xml:space="preserve"> gives the highest profit of </t>
    </r>
    <r>
      <rPr>
        <b/>
        <sz val="14"/>
        <color theme="1"/>
        <rFont val="Arial Rounded MT Bold"/>
        <family val="2"/>
      </rPr>
      <t>₹7,41,321</t>
    </r>
    <r>
      <rPr>
        <sz val="14"/>
        <color theme="1"/>
        <rFont val="Arial Rounded MT Bold"/>
        <family val="2"/>
      </rPr>
      <t>.</t>
    </r>
  </si>
  <si>
    <r>
      <t>May</t>
    </r>
    <r>
      <rPr>
        <sz val="14"/>
        <color theme="1"/>
        <rFont val="Arial Rounded MT Bold"/>
        <family val="2"/>
      </rPr>
      <t xml:space="preserve"> has the highest sales with </t>
    </r>
    <r>
      <rPr>
        <b/>
        <sz val="14"/>
        <color theme="1"/>
        <rFont val="Arial Rounded MT Bold"/>
        <family val="2"/>
      </rPr>
      <t>₹6,89,660</t>
    </r>
    <r>
      <rPr>
        <sz val="14"/>
        <color theme="1"/>
        <rFont val="Arial Rounded MT Bold"/>
        <family val="2"/>
      </rPr>
      <t>.</t>
    </r>
  </si>
  <si>
    <r>
      <t>Laptop</t>
    </r>
    <r>
      <rPr>
        <sz val="14"/>
        <color theme="1"/>
        <rFont val="Arial Rounded MT Bold"/>
        <family val="2"/>
      </rPr>
      <t xml:space="preserve"> has the highest sales with </t>
    </r>
    <r>
      <rPr>
        <b/>
        <sz val="14"/>
        <color theme="1"/>
        <rFont val="Arial Rounded MT Bold"/>
        <family val="2"/>
      </rPr>
      <t>₹13,94,250</t>
    </r>
    <r>
      <rPr>
        <sz val="14"/>
        <color theme="1"/>
        <rFont val="Arial Rounded MT Bold"/>
        <family val="2"/>
      </rPr>
      <t>.</t>
    </r>
  </si>
  <si>
    <r>
      <t xml:space="preserve">Overall profit margin is </t>
    </r>
    <r>
      <rPr>
        <b/>
        <sz val="14"/>
        <color theme="1"/>
        <rFont val="Arial Rounded MT Bold"/>
        <family val="2"/>
      </rPr>
      <t>29.34%</t>
    </r>
    <r>
      <rPr>
        <sz val="14"/>
        <color theme="1"/>
        <rFont val="Arial Rounded MT Bold"/>
        <family val="2"/>
      </rPr>
      <t>.</t>
    </r>
  </si>
  <si>
    <t>RECOMMENDATIONS</t>
  </si>
  <si>
    <t>&gt; Maintain the current profit margin.</t>
  </si>
  <si>
    <r>
      <t xml:space="preserve">&gt;  Focus more on </t>
    </r>
    <r>
      <rPr>
        <b/>
        <sz val="14"/>
        <color theme="1"/>
        <rFont val="Arial Rounded MT Bold"/>
        <family val="2"/>
      </rPr>
      <t>Electronics</t>
    </r>
    <r>
      <rPr>
        <sz val="14"/>
        <color theme="1"/>
        <rFont val="Arial Rounded MT Bold"/>
        <family val="2"/>
      </rPr>
      <t xml:space="preserve"> products.</t>
    </r>
  </si>
  <si>
    <r>
      <t xml:space="preserve">&gt; Continue marketing in the </t>
    </r>
    <r>
      <rPr>
        <b/>
        <sz val="14"/>
        <color theme="1"/>
        <rFont val="Arial Rounded MT Bold"/>
        <family val="2"/>
      </rPr>
      <t>North region</t>
    </r>
    <r>
      <rPr>
        <sz val="14"/>
        <color theme="1"/>
        <rFont val="Arial Rounded MT Bold"/>
        <family val="2"/>
      </rPr>
      <t>.</t>
    </r>
  </si>
  <si>
    <r>
      <t xml:space="preserve">&gt; Promote </t>
    </r>
    <r>
      <rPr>
        <b/>
        <sz val="14"/>
        <color theme="1"/>
        <rFont val="Arial Rounded MT Bold"/>
        <family val="2"/>
      </rPr>
      <t>Laptop</t>
    </r>
    <r>
      <rPr>
        <sz val="14"/>
        <color theme="1"/>
        <rFont val="Arial Rounded MT Bold"/>
        <family val="2"/>
      </rPr>
      <t xml:space="preserve"> products.</t>
    </r>
  </si>
  <si>
    <r>
      <t xml:space="preserve">&gt; Study what worked well in </t>
    </r>
    <r>
      <rPr>
        <b/>
        <sz val="14"/>
        <color theme="1"/>
        <rFont val="Arial Rounded MT Bold"/>
        <family val="2"/>
      </rPr>
      <t>May</t>
    </r>
    <r>
      <rPr>
        <sz val="14"/>
        <color theme="1"/>
        <rFont val="Arial Rounded MT Bold"/>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</si>
</sst>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 [$₹-4009]\ * #,##0.00_ ;_ [$₹-4009]\ * \-#,##0.00_ ;_ [$₹-4009]\ * &quot;-&quot;??_ ;_ @_ "/>
  </numFmts>
  <fonts count="25" x14ac:knownFonts="1">
    <font>
      <sz val="11"/>
      <color theme="1"/>
      <name val="Calibri"/>
      <family val="2"/>
      <scheme val="minor"/>
    </font>
    <font>
      <b/>
      <sz val="11"/>
      <name val="Calibri"/>
    </font>
    <font>
      <sz val="11"/>
      <color theme="1"/>
      <name val="Calibri"/>
      <family val="2"/>
      <scheme val="minor"/>
    </font>
    <font>
      <sz val="11"/>
      <color theme="0"/>
      <name val="Calibri"/>
      <family val="2"/>
      <scheme val="minor"/>
    </font>
    <font>
      <sz val="12"/>
      <color theme="1"/>
      <name val="Calibri"/>
      <family val="2"/>
      <scheme val="minor"/>
    </font>
    <font>
      <sz val="12"/>
      <color theme="0"/>
      <name val="Calibri"/>
      <family val="2"/>
      <scheme val="minor"/>
    </font>
    <font>
      <sz val="12"/>
      <color theme="1"/>
      <name val="Arial Black"/>
      <family val="2"/>
    </font>
    <font>
      <sz val="12"/>
      <color theme="0"/>
      <name val="Arial Black"/>
      <family val="2"/>
    </font>
    <font>
      <b/>
      <sz val="11"/>
      <color theme="1"/>
      <name val="Calibri"/>
      <family val="2"/>
      <scheme val="minor"/>
    </font>
    <font>
      <sz val="11"/>
      <color theme="1"/>
      <name val="Arial Black"/>
      <family val="2"/>
    </font>
    <font>
      <sz val="14"/>
      <color theme="0"/>
      <name val="Arial Black"/>
      <family val="2"/>
    </font>
    <font>
      <sz val="14"/>
      <color theme="1"/>
      <name val="Arial Black"/>
      <family val="2"/>
    </font>
    <font>
      <sz val="36"/>
      <color theme="3"/>
      <name val="Arial Black"/>
      <family val="2"/>
    </font>
    <font>
      <sz val="11"/>
      <color theme="3"/>
      <name val="Arial Black"/>
      <family val="2"/>
    </font>
    <font>
      <sz val="11"/>
      <color theme="1"/>
      <name val="Algerian"/>
      <family val="5"/>
    </font>
    <font>
      <sz val="28"/>
      <color theme="1"/>
      <name val="Arial Black"/>
      <family val="2"/>
    </font>
    <font>
      <sz val="28"/>
      <color theme="1"/>
      <name val="Calibri"/>
      <family val="2"/>
      <scheme val="minor"/>
    </font>
    <font>
      <sz val="11"/>
      <color theme="1"/>
      <name val="Arial Rounded MT Bold"/>
      <family val="2"/>
    </font>
    <font>
      <b/>
      <sz val="14"/>
      <color theme="1"/>
      <name val="Arial Black"/>
      <family val="2"/>
    </font>
    <font>
      <sz val="14"/>
      <color theme="1"/>
      <name val="Algerian"/>
      <family val="5"/>
    </font>
    <font>
      <sz val="14"/>
      <color theme="1"/>
      <name val="Calibri"/>
      <family val="2"/>
      <scheme val="minor"/>
    </font>
    <font>
      <sz val="14"/>
      <color theme="1"/>
      <name val="Arial Rounded MT Bold"/>
      <family val="2"/>
    </font>
    <font>
      <b/>
      <sz val="14"/>
      <color theme="1"/>
      <name val="Arial Rounded MT Bold"/>
      <family val="2"/>
    </font>
    <font>
      <b/>
      <sz val="16"/>
      <color theme="1"/>
      <name val="Arial Black"/>
      <family val="2"/>
    </font>
    <font>
      <sz val="16"/>
      <color theme="1"/>
      <name val="Arial Black"/>
      <family val="2"/>
    </font>
  </fonts>
  <fills count="5">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s>
  <borders count="10">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diagonal/>
    </border>
  </borders>
  <cellStyleXfs count="5">
    <xf numFmtId="0" fontId="0" fillId="0" borderId="0"/>
    <xf numFmtId="0" fontId="3"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9" fontId="2" fillId="0" borderId="0" applyFont="0" applyFill="0" applyBorder="0" applyAlignment="0" applyProtection="0"/>
  </cellStyleXfs>
  <cellXfs count="50">
    <xf numFmtId="0" fontId="0" fillId="0" borderId="0" xfId="0"/>
    <xf numFmtId="164" fontId="0" fillId="0" borderId="0" xfId="0" applyNumberFormat="1"/>
    <xf numFmtId="0" fontId="1" fillId="0" borderId="1" xfId="0" applyFont="1" applyBorder="1" applyAlignment="1">
      <alignment horizontal="center" vertical="top"/>
    </xf>
    <xf numFmtId="0" fontId="7" fillId="2" borderId="2" xfId="1" applyFont="1" applyBorder="1"/>
    <xf numFmtId="0" fontId="6" fillId="3" borderId="3" xfId="2" applyFont="1" applyBorder="1"/>
    <xf numFmtId="14" fontId="0" fillId="0" borderId="0" xfId="0" applyNumberFormat="1"/>
    <xf numFmtId="0" fontId="8" fillId="0" borderId="0" xfId="0" applyFont="1"/>
    <xf numFmtId="0" fontId="9" fillId="0" borderId="0" xfId="0" applyFont="1"/>
    <xf numFmtId="0" fontId="7" fillId="2" borderId="4" xfId="1" applyFont="1" applyBorder="1"/>
    <xf numFmtId="0" fontId="6" fillId="4" borderId="5" xfId="3" applyFont="1" applyBorder="1"/>
    <xf numFmtId="0" fontId="10" fillId="2" borderId="4" xfId="1" applyFont="1" applyBorder="1"/>
    <xf numFmtId="0" fontId="6" fillId="4" borderId="3" xfId="3" applyFont="1" applyBorder="1"/>
    <xf numFmtId="0" fontId="0" fillId="0" borderId="8" xfId="0" applyBorder="1"/>
    <xf numFmtId="0" fontId="5" fillId="2" borderId="6" xfId="0" applyFont="1" applyFill="1" applyBorder="1"/>
    <xf numFmtId="0" fontId="4" fillId="3" borderId="4" xfId="0" applyFont="1" applyFill="1" applyBorder="1"/>
    <xf numFmtId="0" fontId="4" fillId="3" borderId="9" xfId="0" applyFont="1" applyFill="1" applyBorder="1"/>
    <xf numFmtId="0" fontId="4" fillId="3" borderId="5" xfId="0" applyFont="1" applyFill="1" applyBorder="1"/>
    <xf numFmtId="0" fontId="12" fillId="0" borderId="0" xfId="0" applyFont="1"/>
    <xf numFmtId="0" fontId="13" fillId="0" borderId="0" xfId="0" applyFont="1"/>
    <xf numFmtId="0" fontId="14" fillId="0" borderId="0" xfId="0" applyFont="1"/>
    <xf numFmtId="10" fontId="6" fillId="4" borderId="3" xfId="4" applyNumberFormat="1" applyFont="1" applyFill="1" applyBorder="1"/>
    <xf numFmtId="165" fontId="11" fillId="4" borderId="5" xfId="3" applyNumberFormat="1" applyFont="1" applyBorder="1"/>
    <xf numFmtId="165" fontId="6" fillId="4" borderId="5" xfId="3" applyNumberFormat="1" applyFont="1" applyBorder="1"/>
    <xf numFmtId="0" fontId="15" fillId="0" borderId="0" xfId="0" applyFont="1"/>
    <xf numFmtId="0" fontId="16" fillId="0" borderId="0" xfId="0" applyFont="1"/>
    <xf numFmtId="0" fontId="17" fillId="0" borderId="0" xfId="0" applyFont="1"/>
    <xf numFmtId="0" fontId="18" fillId="0" borderId="0" xfId="0" applyFont="1"/>
    <xf numFmtId="0" fontId="11"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0" fillId="0" borderId="0" xfId="0" applyAlignment="1">
      <alignment horizontal="left" vertical="center" indent="1"/>
    </xf>
    <xf numFmtId="49" fontId="0" fillId="0" borderId="0" xfId="0" applyNumberFormat="1"/>
    <xf numFmtId="0" fontId="17" fillId="0" borderId="0" xfId="0" applyFont="1" applyAlignment="1">
      <alignment horizontal="left" indent="1"/>
    </xf>
    <xf numFmtId="0" fontId="0" fillId="0" borderId="0" xfId="0" applyAlignment="1">
      <alignment horizontal="left" indent="1"/>
    </xf>
    <xf numFmtId="0" fontId="23" fillId="0" borderId="0" xfId="0" applyFont="1"/>
    <xf numFmtId="0" fontId="24" fillId="0" borderId="0" xfId="0" applyFont="1"/>
    <xf numFmtId="0" fontId="21" fillId="0" borderId="0" xfId="0" applyFont="1" applyAlignment="1">
      <alignment horizontal="left" vertical="top" indent="1"/>
    </xf>
    <xf numFmtId="0" fontId="20" fillId="0" borderId="0" xfId="0" applyFont="1" applyAlignment="1">
      <alignment horizontal="left" vertical="top" indent="1"/>
    </xf>
    <xf numFmtId="0" fontId="3" fillId="2" borderId="7" xfId="0" applyFont="1" applyFill="1" applyBorder="1"/>
    <xf numFmtId="0" fontId="4" fillId="0" borderId="7" xfId="0" pivotButton="1" applyFont="1" applyBorder="1"/>
    <xf numFmtId="0" fontId="4" fillId="0" borderId="8" xfId="0" applyFont="1" applyBorder="1"/>
    <xf numFmtId="10" fontId="6" fillId="3" borderId="3" xfId="4" applyNumberFormat="1" applyFont="1" applyFill="1" applyBorder="1"/>
    <xf numFmtId="0" fontId="0" fillId="0" borderId="4" xfId="0" applyBorder="1"/>
    <xf numFmtId="0" fontId="0" fillId="0" borderId="9" xfId="0" applyBorder="1"/>
    <xf numFmtId="0" fontId="5" fillId="2" borderId="5" xfId="0" applyFont="1" applyFill="1" applyBorder="1"/>
    <xf numFmtId="0" fontId="4" fillId="0" borderId="4" xfId="0" applyFont="1" applyBorder="1"/>
    <xf numFmtId="0" fontId="4" fillId="0" borderId="9" xfId="0" applyFont="1" applyBorder="1"/>
    <xf numFmtId="0" fontId="5" fillId="2" borderId="6" xfId="0" applyNumberFormat="1" applyFont="1" applyFill="1" applyBorder="1"/>
  </cellXfs>
  <cellStyles count="5">
    <cellStyle name="20% - Accent1" xfId="2" builtinId="30"/>
    <cellStyle name="40% - Accent1" xfId="3" builtinId="31"/>
    <cellStyle name="Accent1" xfId="1" builtinId="29"/>
    <cellStyle name="Normal" xfId="0" builtinId="0"/>
    <cellStyle name="Percent" xfId="4" builtinId="5"/>
  </cellStyles>
  <dxfs count="106">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4" tint="0.79998168889431442"/>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numFmt numFmtId="19"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2400"/>
              <a:t>Profit </a:t>
            </a:r>
            <a:r>
              <a:rPr lang="en-IN" sz="2400">
                <a:solidFill>
                  <a:schemeClr val="tx2">
                    <a:lumMod val="75000"/>
                  </a:schemeClr>
                </a:solidFill>
              </a:rPr>
              <a:t>by Category</a:t>
            </a:r>
          </a:p>
          <a:p>
            <a:pPr>
              <a:defRPr/>
            </a:pPr>
            <a:endParaRPr lang="en-US"/>
          </a:p>
        </c:rich>
      </c:tx>
      <c:layout>
        <c:manualLayout>
          <c:xMode val="edge"/>
          <c:yMode val="edge"/>
          <c:x val="0.32633629472302805"/>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3"/>
              <c:pt idx="0">
                <c:v>Clothing</c:v>
              </c:pt>
              <c:pt idx="1">
                <c:v>Electronics</c:v>
              </c:pt>
              <c:pt idx="2">
                <c:v>Furniture</c:v>
              </c:pt>
            </c:strLit>
          </c:cat>
          <c:val>
            <c:numLit>
              <c:formatCode>General</c:formatCode>
              <c:ptCount val="3"/>
              <c:pt idx="0">
                <c:v>75260.899999999994</c:v>
              </c:pt>
              <c:pt idx="1">
                <c:v>741321</c:v>
              </c:pt>
              <c:pt idx="2">
                <c:v>221499.2</c:v>
              </c:pt>
            </c:numLit>
          </c:val>
          <c:extLst>
            <c:ext xmlns:c16="http://schemas.microsoft.com/office/drawing/2014/chart" uri="{C3380CC4-5D6E-409C-BE32-E72D297353CC}">
              <c16:uniqueId val="{00000000-66A2-4664-B064-A9E0DC3D3B9A}"/>
            </c:ext>
          </c:extLst>
        </c:ser>
        <c:dLbls>
          <c:showLegendKey val="0"/>
          <c:showVal val="0"/>
          <c:showCatName val="0"/>
          <c:showSerName val="0"/>
          <c:showPercent val="0"/>
          <c:showBubbleSize val="0"/>
        </c:dLbls>
        <c:gapWidth val="100"/>
        <c:axId val="415193776"/>
        <c:axId val="298718416"/>
      </c:barChart>
      <c:catAx>
        <c:axId val="4151937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298718416"/>
        <c:crosses val="autoZero"/>
        <c:auto val="1"/>
        <c:lblAlgn val="ctr"/>
        <c:lblOffset val="100"/>
        <c:noMultiLvlLbl val="0"/>
      </c:catAx>
      <c:valAx>
        <c:axId val="2987184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519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Pivot_Analysis!$A$4:$A$16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Pivot_Analysis!$B$4:$B$16</c:f>
              <c:numCache>
                <c:formatCode>General</c:formatCode>
                <c:ptCount val="12"/>
                <c:pt idx="0">
                  <c:v>234000</c:v>
                </c:pt>
                <c:pt idx="1">
                  <c:v>334730</c:v>
                </c:pt>
                <c:pt idx="2">
                  <c:v>60925</c:v>
                </c:pt>
                <c:pt idx="3">
                  <c:v>367900</c:v>
                </c:pt>
                <c:pt idx="4">
                  <c:v>689660</c:v>
                </c:pt>
                <c:pt idx="5">
                  <c:v>382225</c:v>
                </c:pt>
                <c:pt idx="6">
                  <c:v>153940</c:v>
                </c:pt>
                <c:pt idx="7">
                  <c:v>287525</c:v>
                </c:pt>
                <c:pt idx="8">
                  <c:v>346080</c:v>
                </c:pt>
                <c:pt idx="9">
                  <c:v>245745</c:v>
                </c:pt>
                <c:pt idx="10">
                  <c:v>308830</c:v>
                </c:pt>
                <c:pt idx="11">
                  <c:v>126255</c:v>
                </c:pt>
              </c:numCache>
            </c:numRef>
          </c:val>
          <c:smooth val="0"/>
          <c:extLst>
            <c:ext xmlns:c16="http://schemas.microsoft.com/office/drawing/2014/chart" uri="{C3380CC4-5D6E-409C-BE32-E72D297353CC}">
              <c16:uniqueId val="{00000000-6B95-4604-82F4-B407E36A5CD2}"/>
            </c:ext>
          </c:extLst>
        </c:ser>
        <c:dLbls>
          <c:showLegendKey val="0"/>
          <c:showVal val="0"/>
          <c:showCatName val="0"/>
          <c:showSerName val="0"/>
          <c:showPercent val="0"/>
          <c:showBubbleSize val="0"/>
        </c:dLbls>
        <c:marker val="1"/>
        <c:smooth val="0"/>
        <c:axId val="1607100032"/>
        <c:axId val="738947312"/>
      </c:lineChart>
      <c:catAx>
        <c:axId val="160710003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947312"/>
        <c:crosses val="autoZero"/>
        <c:auto val="1"/>
        <c:lblAlgn val="ctr"/>
        <c:lblOffset val="100"/>
        <c:noMultiLvlLbl val="0"/>
      </c:catAx>
      <c:valAx>
        <c:axId val="7389473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71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[ShadowFox_Sales_Dataset.xlsx]Pivot_Analysis!PivotTable7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2400" b="1" i="0" u="none" strike="noStrike" kern="1200" baseline="0">
                <a:solidFill>
                  <a:schemeClr val="tx2">
                    <a:lumMod val="75000"/>
                  </a:schemeClr>
                </a:solidFill>
              </a:rPr>
              <a:t>Sales by Region</a:t>
            </a:r>
            <a:endParaRPr lang="en-US" sz="2400" b="1" i="0" u="none" strike="noStrike" kern="1200" baseline="0">
              <a:solidFill>
                <a:schemeClr val="tx2">
                  <a:lumMod val="75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Pivot_Analysis!$E$17</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0F-4FA6-B1E6-D44535798F5E}"/>
              </c:ext>
            </c:extLst>
          </c:dPt>
          <c:dPt>
            <c:idx val="1"/>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20F-4FA6-B1E6-D44535798F5E}"/>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0F-4FA6-B1E6-D44535798F5E}"/>
              </c:ext>
            </c:extLst>
          </c:dPt>
          <c:dPt>
            <c:idx val="3"/>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20F-4FA6-B1E6-D44535798F5E}"/>
              </c:ext>
            </c:extLst>
          </c:dPt>
          <c:dLbls>
            <c:dLbl>
              <c:idx val="0"/>
              <c:dLblPos val="outEnd"/>
              <c:showLegendKey val="0"/>
              <c:showVal val="0"/>
              <c:showCatName val="1"/>
              <c:showSerName val="0"/>
              <c:showPercent val="1"/>
              <c:showBubbleSize val="0"/>
              <c:extLst>
                <c:ext xmlns:c15="http://schemas.microsoft.com/office/drawing/2012/chart" uri="{CE6537A1-D6FC-4f65-9D91-7224C49458BB}">
                  <c15:xForSave val="1"/>
                </c:ext>
                <c:ext xmlns:c16="http://schemas.microsoft.com/office/drawing/2014/chart" uri="{C3380CC4-5D6E-409C-BE32-E72D297353CC}">
                  <c16:uniqueId val="{00000003-620F-4FA6-B1E6-D44535798F5E}"/>
                </c:ext>
              </c:extLst>
            </c:dLbl>
            <c:dLbl>
              <c:idx val="1"/>
              <c:dLblPos val="outEnd"/>
              <c:showLegendKey val="0"/>
              <c:showVal val="0"/>
              <c:showCatName val="1"/>
              <c:showSerName val="0"/>
              <c:showPercent val="1"/>
              <c:showBubbleSize val="0"/>
              <c:extLst>
                <c:ext xmlns:c15="http://schemas.microsoft.com/office/drawing/2012/chart" uri="{CE6537A1-D6FC-4f65-9D91-7224C49458BB}">
                  <c15:xForSave val="1"/>
                </c:ext>
                <c:ext xmlns:c16="http://schemas.microsoft.com/office/drawing/2014/chart" uri="{C3380CC4-5D6E-409C-BE32-E72D297353CC}">
                  <c16:uniqueId val="{00000004-620F-4FA6-B1E6-D44535798F5E}"/>
                </c:ext>
              </c:extLst>
            </c:dLbl>
            <c:dLbl>
              <c:idx val="2"/>
              <c:dLblPos val="outEnd"/>
              <c:showLegendKey val="0"/>
              <c:showVal val="0"/>
              <c:showCatName val="1"/>
              <c:showSerName val="0"/>
              <c:showPercent val="1"/>
              <c:showBubbleSize val="0"/>
              <c:extLst>
                <c:ext xmlns:c15="http://schemas.microsoft.com/office/drawing/2012/chart" uri="{CE6537A1-D6FC-4f65-9D91-7224C49458BB}">
                  <c15:xForSave val="1"/>
                </c:ext>
                <c:ext xmlns:c16="http://schemas.microsoft.com/office/drawing/2014/chart" uri="{C3380CC4-5D6E-409C-BE32-E72D297353CC}">
                  <c16:uniqueId val="{00000005-620F-4FA6-B1E6-D44535798F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Pivot_Analysis!$D$18:$D$22</c:f>
              <c:strCache>
                <c:ptCount val="4"/>
                <c:pt idx="0">
                  <c:v>East</c:v>
                </c:pt>
                <c:pt idx="1">
                  <c:v>North</c:v>
                </c:pt>
                <c:pt idx="2">
                  <c:v>South</c:v>
                </c:pt>
                <c:pt idx="3">
                  <c:v>West</c:v>
                </c:pt>
              </c:strCache>
            </c:strRef>
          </c:cat>
          <c:val>
            <c:numRef>
              <c:f>Pivot_Analysis!$E$18:$E$22</c:f>
              <c:numCache>
                <c:formatCode>General</c:formatCode>
                <c:ptCount val="4"/>
                <c:pt idx="0">
                  <c:v>732560</c:v>
                </c:pt>
                <c:pt idx="1">
                  <c:v>1405180</c:v>
                </c:pt>
                <c:pt idx="2">
                  <c:v>470425</c:v>
                </c:pt>
                <c:pt idx="3">
                  <c:v>929650</c:v>
                </c:pt>
              </c:numCache>
            </c:numRef>
          </c:val>
          <c:extLst>
            <c:ext xmlns:c16="http://schemas.microsoft.com/office/drawing/2014/chart" uri="{C3380CC4-5D6E-409C-BE32-E72D297353CC}">
              <c16:uniqueId val="{00000002-620F-4FA6-B1E6-D44535798F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2000" b="1" i="0" u="none" strike="noStrike" kern="1200" baseline="0">
                <a:solidFill>
                  <a:schemeClr val="tx2">
                    <a:lumMod val="75000"/>
                  </a:schemeClr>
                </a:solidFill>
              </a:rPr>
              <a:t>Sales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2714566929133859"/>
          <c:y val="4.52755905511811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Pivot_Analysis!$D$11:$D$14</c:f>
              <c:strCache>
                <c:ptCount val="3"/>
                <c:pt idx="0">
                  <c:v>Clothing</c:v>
                </c:pt>
                <c:pt idx="1">
                  <c:v>Electronics</c:v>
                </c:pt>
                <c:pt idx="2">
                  <c:v>Furniture</c:v>
                </c:pt>
              </c:strCache>
            </c:strRef>
          </c:cat>
          <c:val>
            <c:numRef>
              <c:f>Pivot_Analysis!$E$11:$E$14</c:f>
              <c:numCache>
                <c:formatCode>General</c:formatCode>
                <c:ptCount val="3"/>
                <c:pt idx="0">
                  <c:v>198055</c:v>
                </c:pt>
                <c:pt idx="1">
                  <c:v>2647575</c:v>
                </c:pt>
                <c:pt idx="2">
                  <c:v>692185</c:v>
                </c:pt>
              </c:numCache>
            </c:numRef>
          </c:val>
          <c:extLst>
            <c:ext xmlns:c16="http://schemas.microsoft.com/office/drawing/2014/chart" uri="{C3380CC4-5D6E-409C-BE32-E72D297353CC}">
              <c16:uniqueId val="{00000002-E3BE-46F2-83EC-FEE6C50D6A87}"/>
            </c:ext>
          </c:extLst>
        </c:ser>
        <c:dLbls>
          <c:showLegendKey val="0"/>
          <c:showVal val="0"/>
          <c:showCatName val="0"/>
          <c:showSerName val="0"/>
          <c:showPercent val="0"/>
          <c:showBubbleSize val="0"/>
        </c:dLbls>
        <c:gapWidth val="100"/>
        <c:overlap val="-24"/>
        <c:axId val="1643436975"/>
        <c:axId val="1645723791"/>
      </c:barChart>
      <c:catAx>
        <c:axId val="164343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45723791"/>
        <c:crosses val="autoZero"/>
        <c:auto val="1"/>
        <c:lblAlgn val="ctr"/>
        <c:lblOffset val="100"/>
        <c:noMultiLvlLbl val="0"/>
      </c:catAx>
      <c:valAx>
        <c:axId val="164572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4343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Products by Sales</a:t>
            </a:r>
          </a:p>
          <a:p>
            <a:pPr>
              <a:defRPr/>
            </a:pPr>
            <a:endParaRPr lang="en-IN"/>
          </a:p>
        </c:rich>
      </c:tx>
      <c:layout>
        <c:manualLayout>
          <c:xMode val="edge"/>
          <c:yMode val="edge"/>
          <c:x val="0.34145937823447603"/>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Pivot_Analysis!$G$4:$G$19</c:f>
              <c:strCache>
                <c:ptCount val="15"/>
                <c:pt idx="0">
                  <c:v>Bookshelf</c:v>
                </c:pt>
                <c:pt idx="1">
                  <c:v>Desk Lamp</c:v>
                </c:pt>
                <c:pt idx="2">
                  <c:v>Dress</c:v>
                </c:pt>
                <c:pt idx="3">
                  <c:v>Headphones</c:v>
                </c:pt>
                <c:pt idx="4">
                  <c:v>Jacket</c:v>
                </c:pt>
                <c:pt idx="5">
                  <c:v>Jeans</c:v>
                </c:pt>
                <c:pt idx="6">
                  <c:v>Laptop</c:v>
                </c:pt>
                <c:pt idx="7">
                  <c:v>Office Chair</c:v>
                </c:pt>
                <c:pt idx="8">
                  <c:v>Smart Watch</c:v>
                </c:pt>
                <c:pt idx="9">
                  <c:v>Smartphone</c:v>
                </c:pt>
                <c:pt idx="10">
                  <c:v>Sneakers</c:v>
                </c:pt>
                <c:pt idx="11">
                  <c:v>Sofa</c:v>
                </c:pt>
                <c:pt idx="12">
                  <c:v>Study Table</c:v>
                </c:pt>
                <c:pt idx="13">
                  <c:v>Tablet</c:v>
                </c:pt>
                <c:pt idx="14">
                  <c:v>T-Shirt</c:v>
                </c:pt>
              </c:strCache>
            </c:strRef>
          </c:cat>
          <c:val>
            <c:numRef>
              <c:f>Pivot_Analysis!$H$4:$H$19</c:f>
              <c:numCache>
                <c:formatCode>General</c:formatCode>
                <c:ptCount val="15"/>
                <c:pt idx="6">
                  <c:v>#N/A</c:v>
                </c:pt>
                <c:pt idx="7">
                  <c:v>732560</c:v>
                </c:pt>
                <c:pt idx="8">
                  <c:v>1405180</c:v>
                </c:pt>
                <c:pt idx="9">
                  <c:v>470425</c:v>
                </c:pt>
                <c:pt idx="10">
                  <c:v>929650</c:v>
                </c:pt>
                <c:pt idx="11">
                  <c:v>3537815</c:v>
                </c:pt>
              </c:numCache>
            </c:numRef>
          </c:val>
          <c:extLst>
            <c:ext xmlns:c16="http://schemas.microsoft.com/office/drawing/2014/chart" uri="{C3380CC4-5D6E-409C-BE32-E72D297353CC}">
              <c16:uniqueId val="{00000004-B64B-48E0-AD88-ED7724D4B2AC}"/>
            </c:ext>
          </c:extLst>
        </c:ser>
        <c:dLbls>
          <c:showLegendKey val="0"/>
          <c:showVal val="0"/>
          <c:showCatName val="0"/>
          <c:showSerName val="0"/>
          <c:showPercent val="0"/>
          <c:showBubbleSize val="0"/>
        </c:dLbls>
        <c:gapWidth val="100"/>
        <c:axId val="1643412847"/>
        <c:axId val="1645530351"/>
      </c:barChart>
      <c:catAx>
        <c:axId val="1643412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5530351"/>
        <c:crosses val="autoZero"/>
        <c:auto val="1"/>
        <c:lblAlgn val="ctr"/>
        <c:lblOffset val="100"/>
        <c:noMultiLvlLbl val="0"/>
      </c:catAx>
      <c:valAx>
        <c:axId val="16455303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341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Category</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Pivot_Analysis!$D$4:$D$7</c:f>
              <c:strCache>
                <c:ptCount val="3"/>
                <c:pt idx="0">
                  <c:v>Clothing</c:v>
                </c:pt>
                <c:pt idx="1">
                  <c:v>Electronics</c:v>
                </c:pt>
                <c:pt idx="2">
                  <c:v>Furniture</c:v>
                </c:pt>
              </c:strCache>
            </c:strRef>
          </c:cat>
          <c:val>
            <c:numRef>
              <c:f>Pivot_Analysis!$E$4:$E$7</c:f>
              <c:numCache>
                <c:formatCode>General</c:formatCode>
                <c:ptCount val="3"/>
                <c:pt idx="0">
                  <c:v>75260.899999999994</c:v>
                </c:pt>
                <c:pt idx="1">
                  <c:v>741321</c:v>
                </c:pt>
                <c:pt idx="2">
                  <c:v>221499.2</c:v>
                </c:pt>
              </c:numCache>
            </c:numRef>
          </c:val>
          <c:extLst>
            <c:ext xmlns:c16="http://schemas.microsoft.com/office/drawing/2014/chart" uri="{C3380CC4-5D6E-409C-BE32-E72D297353CC}">
              <c16:uniqueId val="{00000002-1CEC-443B-A31F-846545833702}"/>
            </c:ext>
          </c:extLst>
        </c:ser>
        <c:dLbls>
          <c:showLegendKey val="0"/>
          <c:showVal val="0"/>
          <c:showCatName val="0"/>
          <c:showSerName val="0"/>
          <c:showPercent val="0"/>
          <c:showBubbleSize val="0"/>
        </c:dLbls>
        <c:gapWidth val="100"/>
        <c:axId val="2084766463"/>
        <c:axId val="1645508271"/>
      </c:barChart>
      <c:catAx>
        <c:axId val="2084766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645508271"/>
        <c:crosses val="autoZero"/>
        <c:auto val="1"/>
        <c:lblAlgn val="ctr"/>
        <c:lblOffset val="100"/>
        <c:noMultiLvlLbl val="0"/>
      </c:catAx>
      <c:valAx>
        <c:axId val="16455082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476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solidFill>
                  <a:schemeClr val="accent1">
                    <a:lumMod val="50000"/>
                  </a:schemeClr>
                </a:solidFill>
              </a:rPr>
              <a:t>Monthly Sales Trend</a:t>
            </a:r>
            <a:endParaRPr lang="en-US" sz="2000">
              <a:solidFill>
                <a:schemeClr val="accent1">
                  <a:lumMod val="50000"/>
                </a:schemeClr>
              </a:solidFill>
            </a:endParaRP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Pivot_Analysis!$A$4:$A$16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Pivot_Analysis!$B$4:$B$16</c:f>
              <c:numCache>
                <c:formatCode>General</c:formatCode>
                <c:ptCount val="12"/>
                <c:pt idx="0">
                  <c:v>234000</c:v>
                </c:pt>
                <c:pt idx="1">
                  <c:v>334730</c:v>
                </c:pt>
                <c:pt idx="2">
                  <c:v>60925</c:v>
                </c:pt>
                <c:pt idx="3">
                  <c:v>367900</c:v>
                </c:pt>
                <c:pt idx="4">
                  <c:v>689660</c:v>
                </c:pt>
                <c:pt idx="5">
                  <c:v>382225</c:v>
                </c:pt>
                <c:pt idx="6">
                  <c:v>153940</c:v>
                </c:pt>
                <c:pt idx="7">
                  <c:v>287525</c:v>
                </c:pt>
                <c:pt idx="8">
                  <c:v>346080</c:v>
                </c:pt>
                <c:pt idx="9">
                  <c:v>245745</c:v>
                </c:pt>
                <c:pt idx="10">
                  <c:v>308830</c:v>
                </c:pt>
                <c:pt idx="11">
                  <c:v>126255</c:v>
                </c:pt>
              </c:numCache>
            </c:numRef>
          </c:val>
          <c:smooth val="0"/>
          <c:extLst>
            <c:ext xmlns:c16="http://schemas.microsoft.com/office/drawing/2014/chart" uri="{C3380CC4-5D6E-409C-BE32-E72D297353CC}">
              <c16:uniqueId val="{00000000-2E7A-4A88-B15A-3F210BF352E2}"/>
            </c:ext>
          </c:extLst>
        </c:ser>
        <c:dLbls>
          <c:showLegendKey val="0"/>
          <c:showVal val="0"/>
          <c:showCatName val="0"/>
          <c:showSerName val="0"/>
          <c:showPercent val="0"/>
          <c:showBubbleSize val="0"/>
        </c:dLbls>
        <c:marker val="1"/>
        <c:smooth val="0"/>
        <c:axId val="1607100032"/>
        <c:axId val="738947312"/>
      </c:lineChart>
      <c:catAx>
        <c:axId val="1607100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38947312"/>
        <c:crosses val="autoZero"/>
        <c:auto val="1"/>
        <c:lblAlgn val="ctr"/>
        <c:lblOffset val="100"/>
        <c:noMultiLvlLbl val="0"/>
      </c:catAx>
      <c:valAx>
        <c:axId val="73894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71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[ShadowFox_Sales_Dataset.xlsx]Pivot_Analysis!PivotTable7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2000" b="1" i="0" u="none" strike="noStrike" kern="1200" baseline="0">
                <a:solidFill>
                  <a:schemeClr val="accent1">
                    <a:lumMod val="50000"/>
                  </a:schemeClr>
                </a:solidFill>
              </a:rPr>
              <a:t>Sales By Region</a:t>
            </a:r>
            <a:endParaRPr lang="en-US" sz="2000" b="1" i="0" u="none" strike="noStrike" kern="1200" baseline="0">
              <a:solidFill>
                <a:schemeClr val="accent1">
                  <a:lumMod val="5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Pivot_Analysis!$E$17</c:f>
              <c:strCache>
                <c:ptCount val="1"/>
                <c:pt idx="0">
                  <c:v>Total</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7F5-453B-9D01-8FBBBF91C5E3}"/>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7F5-453B-9D01-8FBBBF91C5E3}"/>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7F5-453B-9D01-8FBBBF91C5E3}"/>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7F5-453B-9D01-8FBBBF91C5E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Pivot_Analysis!$D$18:$D$22</c:f>
              <c:strCache>
                <c:ptCount val="4"/>
                <c:pt idx="0">
                  <c:v>East</c:v>
                </c:pt>
                <c:pt idx="1">
                  <c:v>North</c:v>
                </c:pt>
                <c:pt idx="2">
                  <c:v>South</c:v>
                </c:pt>
                <c:pt idx="3">
                  <c:v>West</c:v>
                </c:pt>
              </c:strCache>
            </c:strRef>
          </c:cat>
          <c:val>
            <c:numRef>
              <c:f>Pivot_Analysis!$E$18:$E$22</c:f>
              <c:numCache>
                <c:formatCode>General</c:formatCode>
                <c:ptCount val="4"/>
                <c:pt idx="0">
                  <c:v>732560</c:v>
                </c:pt>
                <c:pt idx="1">
                  <c:v>1405180</c:v>
                </c:pt>
                <c:pt idx="2">
                  <c:v>470425</c:v>
                </c:pt>
                <c:pt idx="3">
                  <c:v>929650</c:v>
                </c:pt>
              </c:numCache>
            </c:numRef>
          </c:val>
          <c:extLst>
            <c:ext xmlns:c16="http://schemas.microsoft.com/office/drawing/2014/chart" uri="{C3380CC4-5D6E-409C-BE32-E72D297353CC}">
              <c16:uniqueId val="{00000008-77F5-453B-9D01-8FBBBF91C5E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2000" b="1" i="0" u="none" strike="noStrike" kern="1200" baseline="0">
                <a:solidFill>
                  <a:schemeClr val="accent1">
                    <a:lumMod val="50000"/>
                  </a:schemeClr>
                </a:solidFill>
              </a:rPr>
              <a:t>Sales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2714566929133859"/>
          <c:y val="4.52755905511811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Pivot_Analysis!$D$11:$D$14</c:f>
              <c:strCache>
                <c:ptCount val="3"/>
                <c:pt idx="0">
                  <c:v>Clothing</c:v>
                </c:pt>
                <c:pt idx="1">
                  <c:v>Electronics</c:v>
                </c:pt>
                <c:pt idx="2">
                  <c:v>Furniture</c:v>
                </c:pt>
              </c:strCache>
            </c:strRef>
          </c:cat>
          <c:val>
            <c:numRef>
              <c:f>Pivot_Analysis!$E$11:$E$14</c:f>
              <c:numCache>
                <c:formatCode>General</c:formatCode>
                <c:ptCount val="3"/>
                <c:pt idx="0">
                  <c:v>198055</c:v>
                </c:pt>
                <c:pt idx="1">
                  <c:v>2647575</c:v>
                </c:pt>
                <c:pt idx="2">
                  <c:v>692185</c:v>
                </c:pt>
              </c:numCache>
            </c:numRef>
          </c:val>
          <c:extLst>
            <c:ext xmlns:c16="http://schemas.microsoft.com/office/drawing/2014/chart" uri="{C3380CC4-5D6E-409C-BE32-E72D297353CC}">
              <c16:uniqueId val="{00000000-72CF-4489-A188-21AC5CDD0C59}"/>
            </c:ext>
          </c:extLst>
        </c:ser>
        <c:dLbls>
          <c:showLegendKey val="0"/>
          <c:showVal val="0"/>
          <c:showCatName val="0"/>
          <c:showSerName val="0"/>
          <c:showPercent val="0"/>
          <c:showBubbleSize val="0"/>
        </c:dLbls>
        <c:gapWidth val="100"/>
        <c:overlap val="-24"/>
        <c:axId val="1643436975"/>
        <c:axId val="1645723791"/>
      </c:barChart>
      <c:catAx>
        <c:axId val="1643436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45723791"/>
        <c:crosses val="autoZero"/>
        <c:auto val="1"/>
        <c:lblAlgn val="ctr"/>
        <c:lblOffset val="100"/>
        <c:noMultiLvlLbl val="0"/>
      </c:catAx>
      <c:valAx>
        <c:axId val="164572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4343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2000">
                <a:solidFill>
                  <a:schemeClr val="accent1">
                    <a:lumMod val="50000"/>
                  </a:schemeClr>
                </a:solidFill>
              </a:rPr>
              <a:t>Products By Sales</a:t>
            </a:r>
          </a:p>
          <a:p>
            <a:pPr>
              <a:defRPr/>
            </a:pPr>
            <a:endParaRPr lang="en-IN"/>
          </a:p>
        </c:rich>
      </c:tx>
      <c:layout>
        <c:manualLayout>
          <c:xMode val="edge"/>
          <c:yMode val="edge"/>
          <c:x val="0.34145937823447603"/>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Pivot_Analysis!$G$4:$G$19</c:f>
              <c:strCache>
                <c:ptCount val="15"/>
                <c:pt idx="0">
                  <c:v>Bookshelf</c:v>
                </c:pt>
                <c:pt idx="1">
                  <c:v>Desk Lamp</c:v>
                </c:pt>
                <c:pt idx="2">
                  <c:v>Dress</c:v>
                </c:pt>
                <c:pt idx="3">
                  <c:v>Headphones</c:v>
                </c:pt>
                <c:pt idx="4">
                  <c:v>Jacket</c:v>
                </c:pt>
                <c:pt idx="5">
                  <c:v>Jeans</c:v>
                </c:pt>
                <c:pt idx="6">
                  <c:v>Laptop</c:v>
                </c:pt>
                <c:pt idx="7">
                  <c:v>Office Chair</c:v>
                </c:pt>
                <c:pt idx="8">
                  <c:v>Smart Watch</c:v>
                </c:pt>
                <c:pt idx="9">
                  <c:v>Smartphone</c:v>
                </c:pt>
                <c:pt idx="10">
                  <c:v>Sneakers</c:v>
                </c:pt>
                <c:pt idx="11">
                  <c:v>Sofa</c:v>
                </c:pt>
                <c:pt idx="12">
                  <c:v>Study Table</c:v>
                </c:pt>
                <c:pt idx="13">
                  <c:v>Tablet</c:v>
                </c:pt>
                <c:pt idx="14">
                  <c:v>T-Shirt</c:v>
                </c:pt>
              </c:strCache>
            </c:strRef>
          </c:cat>
          <c:val>
            <c:numRef>
              <c:f>Pivot_Analysis!$H$4:$H$19</c:f>
              <c:numCache>
                <c:formatCode>General</c:formatCode>
                <c:ptCount val="15"/>
                <c:pt idx="6">
                  <c:v>#N/A</c:v>
                </c:pt>
                <c:pt idx="7">
                  <c:v>732560</c:v>
                </c:pt>
                <c:pt idx="8">
                  <c:v>1405180</c:v>
                </c:pt>
                <c:pt idx="9">
                  <c:v>470425</c:v>
                </c:pt>
                <c:pt idx="10">
                  <c:v>929650</c:v>
                </c:pt>
                <c:pt idx="11">
                  <c:v>3537815</c:v>
                </c:pt>
              </c:numCache>
            </c:numRef>
          </c:val>
          <c:extLst>
            <c:ext xmlns:c16="http://schemas.microsoft.com/office/drawing/2014/chart" uri="{C3380CC4-5D6E-409C-BE32-E72D297353CC}">
              <c16:uniqueId val="{00000004-1ED5-4070-A78E-E4CCCA16D74D}"/>
            </c:ext>
          </c:extLst>
        </c:ser>
        <c:dLbls>
          <c:showLegendKey val="0"/>
          <c:showVal val="0"/>
          <c:showCatName val="0"/>
          <c:showSerName val="0"/>
          <c:showPercent val="0"/>
          <c:showBubbleSize val="0"/>
        </c:dLbls>
        <c:gapWidth val="100"/>
        <c:axId val="1643412847"/>
        <c:axId val="1645530351"/>
      </c:barChart>
      <c:catAx>
        <c:axId val="1643412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645530351"/>
        <c:crosses val="autoZero"/>
        <c:auto val="1"/>
        <c:lblAlgn val="ctr"/>
        <c:lblOffset val="100"/>
        <c:noMultiLvlLbl val="0"/>
      </c:catAx>
      <c:valAx>
        <c:axId val="16455303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64341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[ShadowFox_Sales_Dataset.xlsx]Pivot_Analysis!PivotTable2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2400"/>
              <a:t>Profit By Category</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Pivot_Analysis!$D$4:$D$7</c:f>
              <c:strCache>
                <c:ptCount val="3"/>
                <c:pt idx="0">
                  <c:v>Clothing</c:v>
                </c:pt>
                <c:pt idx="1">
                  <c:v>Electronics</c:v>
                </c:pt>
                <c:pt idx="2">
                  <c:v>Furniture</c:v>
                </c:pt>
              </c:strCache>
            </c:strRef>
          </c:cat>
          <c:val>
            <c:numRef>
              <c:f>Pivot_Analysis!$E$4:$E$7</c:f>
              <c:numCache>
                <c:formatCode>General</c:formatCode>
                <c:ptCount val="3"/>
                <c:pt idx="0">
                  <c:v>75260.899999999994</c:v>
                </c:pt>
                <c:pt idx="1">
                  <c:v>741321</c:v>
                </c:pt>
                <c:pt idx="2">
                  <c:v>221499.2</c:v>
                </c:pt>
              </c:numCache>
            </c:numRef>
          </c:val>
          <c:extLst>
            <c:ext xmlns:c16="http://schemas.microsoft.com/office/drawing/2014/chart" uri="{C3380CC4-5D6E-409C-BE32-E72D297353CC}">
              <c16:uniqueId val="{00000000-8CDB-4A37-B453-A80052EBF28E}"/>
            </c:ext>
          </c:extLst>
        </c:ser>
        <c:dLbls>
          <c:showLegendKey val="0"/>
          <c:showVal val="0"/>
          <c:showCatName val="0"/>
          <c:showSerName val="0"/>
          <c:showPercent val="0"/>
          <c:showBubbleSize val="0"/>
        </c:dLbls>
        <c:gapWidth val="100"/>
        <c:axId val="2084766463"/>
        <c:axId val="1645508271"/>
      </c:barChart>
      <c:catAx>
        <c:axId val="2084766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645508271"/>
        <c:crosses val="autoZero"/>
        <c:auto val="1"/>
        <c:lblAlgn val="ctr"/>
        <c:lblOffset val="100"/>
        <c:noMultiLvlLbl val="0"/>
      </c:catAx>
      <c:valAx>
        <c:axId val="16455082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208476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449580</xdr:colOff>
      <xdr:row>64</xdr:row>
      <xdr:rowOff>133350</xdr:rowOff>
    </xdr:from>
    <xdr:to>
      <xdr:col>8</xdr:col>
      <xdr:colOff>259080</xdr:colOff>
      <xdr:row>79</xdr:row>
      <xdr:rowOff>133350</xdr:rowOff>
    </xdr:to>
    <xdr:graphicFrame macro="">
      <xdr:nvGraphicFramePr>
        <xdr:cNvPr id="6" name="Chart 5">
          <a:extLst>
            <a:ext uri="{FF2B5EF4-FFF2-40B4-BE49-F238E27FC236}">
              <a16:creationId xmlns:a16="http://schemas.microsoft.com/office/drawing/2014/main" id="{70F1FEA5-DE87-2E0E-9730-4CD50FF64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43906</xdr:colOff>
      <xdr:row>18</xdr:row>
      <xdr:rowOff>140385</xdr:rowOff>
    </xdr:from>
    <xdr:to>
      <xdr:col>10</xdr:col>
      <xdr:colOff>1015134</xdr:colOff>
      <xdr:row>31</xdr:row>
      <xdr:rowOff>54417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12A5785-7C6F-20B2-0F65-EA13ABB4E7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14004" y="4200221"/>
              <a:ext cx="1833163" cy="249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1148159</xdr:colOff>
      <xdr:row>18</xdr:row>
      <xdr:rowOff>162811</xdr:rowOff>
    </xdr:from>
    <xdr:to>
      <xdr:col>13</xdr:col>
      <xdr:colOff>260289</xdr:colOff>
      <xdr:row>31</xdr:row>
      <xdr:rowOff>76844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CA065EB-A97B-D61D-A100-C5D2570B03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80192" y="4222647"/>
              <a:ext cx="1810359" cy="2499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472033</xdr:colOff>
      <xdr:row>19</xdr:row>
      <xdr:rowOff>8365</xdr:rowOff>
    </xdr:from>
    <xdr:to>
      <xdr:col>8</xdr:col>
      <xdr:colOff>611464</xdr:colOff>
      <xdr:row>31</xdr:row>
      <xdr:rowOff>166736</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55A64CD-B613-B8D9-9CC1-69232ABA855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431279" y="4268070"/>
              <a:ext cx="1850808" cy="2544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378066</xdr:colOff>
      <xdr:row>18</xdr:row>
      <xdr:rowOff>165027</xdr:rowOff>
    </xdr:from>
    <xdr:to>
      <xdr:col>16</xdr:col>
      <xdr:colOff>392581</xdr:colOff>
      <xdr:row>31</xdr:row>
      <xdr:rowOff>87244</xdr:rowOff>
    </xdr:to>
    <mc:AlternateContent xmlns:mc="http://schemas.openxmlformats.org/markup-compatibility/2006" xmlns:a14="http://schemas.microsoft.com/office/drawing/2010/main">
      <mc:Choice Requires="a14">
        <xdr:graphicFrame macro="">
          <xdr:nvGraphicFramePr>
            <xdr:cNvPr id="10" name="Payment_Mode">
              <a:extLst>
                <a:ext uri="{FF2B5EF4-FFF2-40B4-BE49-F238E27FC236}">
                  <a16:creationId xmlns:a16="http://schemas.microsoft.com/office/drawing/2014/main" id="{8B269F3A-4FC3-0E15-C992-8DEEAA66627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408328" y="4224863"/>
              <a:ext cx="1850810" cy="2508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528280</xdr:colOff>
      <xdr:row>18</xdr:row>
      <xdr:rowOff>176444</xdr:rowOff>
    </xdr:from>
    <xdr:to>
      <xdr:col>19</xdr:col>
      <xdr:colOff>542794</xdr:colOff>
      <xdr:row>31</xdr:row>
      <xdr:rowOff>93775</xdr:rowOff>
    </xdr:to>
    <mc:AlternateContent xmlns:mc="http://schemas.openxmlformats.org/markup-compatibility/2006" xmlns:a14="http://schemas.microsoft.com/office/drawing/2010/main">
      <mc:Choice Requires="a14">
        <xdr:graphicFrame macro="">
          <xdr:nvGraphicFramePr>
            <xdr:cNvPr id="12" name="Month_Name">
              <a:extLst>
                <a:ext uri="{FF2B5EF4-FFF2-40B4-BE49-F238E27FC236}">
                  <a16:creationId xmlns:a16="http://schemas.microsoft.com/office/drawing/2014/main" id="{68557033-1D50-4492-7152-FABAF1BC40D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3394837" y="4236280"/>
              <a:ext cx="1850809" cy="2503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97312</xdr:colOff>
      <xdr:row>32</xdr:row>
      <xdr:rowOff>72681</xdr:rowOff>
    </xdr:from>
    <xdr:to>
      <xdr:col>5</xdr:col>
      <xdr:colOff>493155</xdr:colOff>
      <xdr:row>47</xdr:row>
      <xdr:rowOff>99950</xdr:rowOff>
    </xdr:to>
    <xdr:graphicFrame macro="">
      <xdr:nvGraphicFramePr>
        <xdr:cNvPr id="16" name="Chart 14">
          <a:extLst>
            <a:ext uri="{FF2B5EF4-FFF2-40B4-BE49-F238E27FC236}">
              <a16:creationId xmlns:a16="http://schemas.microsoft.com/office/drawing/2014/main" id="{18B4692A-A936-6BD6-D704-67A187A01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377150</xdr:colOff>
      <xdr:row>48</xdr:row>
      <xdr:rowOff>25400</xdr:rowOff>
    </xdr:from>
    <xdr:to>
      <xdr:col>5</xdr:col>
      <xdr:colOff>538787</xdr:colOff>
      <xdr:row>63</xdr:row>
      <xdr:rowOff>113146</xdr:rowOff>
    </xdr:to>
    <xdr:graphicFrame macro="">
      <xdr:nvGraphicFramePr>
        <xdr:cNvPr id="11" name="Chart 10">
          <a:extLst>
            <a:ext uri="{FF2B5EF4-FFF2-40B4-BE49-F238E27FC236}">
              <a16:creationId xmlns:a16="http://schemas.microsoft.com/office/drawing/2014/main" id="{6FC77D3E-3F0B-D03A-83CD-703DC1539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53879</xdr:colOff>
      <xdr:row>32</xdr:row>
      <xdr:rowOff>171642</xdr:rowOff>
    </xdr:from>
    <xdr:to>
      <xdr:col>10</xdr:col>
      <xdr:colOff>1246909</xdr:colOff>
      <xdr:row>47</xdr:row>
      <xdr:rowOff>105448</xdr:rowOff>
    </xdr:to>
    <xdr:graphicFrame macro="">
      <xdr:nvGraphicFramePr>
        <xdr:cNvPr id="13" name="Chart 12">
          <a:extLst>
            <a:ext uri="{FF2B5EF4-FFF2-40B4-BE49-F238E27FC236}">
              <a16:creationId xmlns:a16="http://schemas.microsoft.com/office/drawing/2014/main" id="{BDBC807E-7E46-E584-F9D9-451B600C2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161636</xdr:colOff>
      <xdr:row>48</xdr:row>
      <xdr:rowOff>79279</xdr:rowOff>
    </xdr:from>
    <xdr:to>
      <xdr:col>11</xdr:col>
      <xdr:colOff>92362</xdr:colOff>
      <xdr:row>63</xdr:row>
      <xdr:rowOff>51570</xdr:rowOff>
    </xdr:to>
    <xdr:graphicFrame macro="">
      <xdr:nvGraphicFramePr>
        <xdr:cNvPr id="14" name="Chart 13">
          <a:extLst>
            <a:ext uri="{FF2B5EF4-FFF2-40B4-BE49-F238E27FC236}">
              <a16:creationId xmlns:a16="http://schemas.microsoft.com/office/drawing/2014/main" id="{C6BF757F-6922-2484-0F28-5F716E681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153939</xdr:colOff>
      <xdr:row>81</xdr:row>
      <xdr:rowOff>2309</xdr:rowOff>
    </xdr:from>
    <xdr:to>
      <xdr:col>11</xdr:col>
      <xdr:colOff>84666</xdr:colOff>
      <xdr:row>95</xdr:row>
      <xdr:rowOff>159327</xdr:rowOff>
    </xdr:to>
    <xdr:graphicFrame macro="">
      <xdr:nvGraphicFramePr>
        <xdr:cNvPr id="15" name="Chart 14">
          <a:extLst>
            <a:ext uri="{FF2B5EF4-FFF2-40B4-BE49-F238E27FC236}">
              <a16:creationId xmlns:a16="http://schemas.microsoft.com/office/drawing/2014/main" id="{253B98A7-E214-0728-213E-070359C57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1729620</xdr:colOff>
      <xdr:row>7</xdr:row>
      <xdr:rowOff>145143</xdr:rowOff>
    </xdr:from>
    <xdr:to>
      <xdr:col>9</xdr:col>
      <xdr:colOff>1187232</xdr:colOff>
      <xdr:row>16</xdr:row>
      <xdr:rowOff>169333</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D6034E66-E663-4A4F-8BE6-FC4F9AF2457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63620" y="1809511"/>
              <a:ext cx="3708770" cy="1688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286654</xdr:colOff>
      <xdr:row>7</xdr:row>
      <xdr:rowOff>125080</xdr:rowOff>
    </xdr:from>
    <xdr:to>
      <xdr:col>3</xdr:col>
      <xdr:colOff>1183585</xdr:colOff>
      <xdr:row>17</xdr:row>
      <xdr:rowOff>31575</xdr:rowOff>
    </xdr:to>
    <mc:AlternateContent xmlns:mc="http://schemas.openxmlformats.org/markup-compatibility/2006" xmlns:a14="http://schemas.microsoft.com/office/drawing/2010/main">
      <mc:Choice Requires="a14">
        <xdr:graphicFrame macro="">
          <xdr:nvGraphicFramePr>
            <xdr:cNvPr id="9" name="Payment_Mode 1">
              <a:extLst>
                <a:ext uri="{FF2B5EF4-FFF2-40B4-BE49-F238E27FC236}">
                  <a16:creationId xmlns:a16="http://schemas.microsoft.com/office/drawing/2014/main" id="{86C48DA7-F24C-46D5-830B-B75A9E090C83}"/>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386917" y="1789448"/>
              <a:ext cx="3343352" cy="175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1390954</xdr:colOff>
      <xdr:row>7</xdr:row>
      <xdr:rowOff>151946</xdr:rowOff>
    </xdr:from>
    <xdr:to>
      <xdr:col>5</xdr:col>
      <xdr:colOff>1614030</xdr:colOff>
      <xdr:row>17</xdr:row>
      <xdr:rowOff>24191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3672ABA6-83A7-4C84-8585-53D7856D11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37638" y="1816314"/>
              <a:ext cx="3010392" cy="1717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824204</xdr:colOff>
      <xdr:row>18</xdr:row>
      <xdr:rowOff>15552</xdr:rowOff>
    </xdr:from>
    <xdr:to>
      <xdr:col>12</xdr:col>
      <xdr:colOff>581525</xdr:colOff>
      <xdr:row>43</xdr:row>
      <xdr:rowOff>20053</xdr:rowOff>
    </xdr:to>
    <xdr:graphicFrame macro="">
      <xdr:nvGraphicFramePr>
        <xdr:cNvPr id="3" name="Chart 14">
          <a:extLst>
            <a:ext uri="{FF2B5EF4-FFF2-40B4-BE49-F238E27FC236}">
              <a16:creationId xmlns:a16="http://schemas.microsoft.com/office/drawing/2014/main" id="{9D817684-7488-4384-A4CF-68A480C64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139959</xdr:colOff>
      <xdr:row>17</xdr:row>
      <xdr:rowOff>155510</xdr:rowOff>
    </xdr:from>
    <xdr:to>
      <xdr:col>5</xdr:col>
      <xdr:colOff>606490</xdr:colOff>
      <xdr:row>43</xdr:row>
      <xdr:rowOff>59472</xdr:rowOff>
    </xdr:to>
    <xdr:graphicFrame macro="">
      <xdr:nvGraphicFramePr>
        <xdr:cNvPr id="4" name="Chart 3">
          <a:extLst>
            <a:ext uri="{FF2B5EF4-FFF2-40B4-BE49-F238E27FC236}">
              <a16:creationId xmlns:a16="http://schemas.microsoft.com/office/drawing/2014/main" id="{773A1E47-CE21-4701-A07B-91A7DB72C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44</xdr:row>
      <xdr:rowOff>93945</xdr:rowOff>
    </xdr:from>
    <xdr:to>
      <xdr:col>5</xdr:col>
      <xdr:colOff>542794</xdr:colOff>
      <xdr:row>74</xdr:row>
      <xdr:rowOff>10438</xdr:rowOff>
    </xdr:to>
    <xdr:graphicFrame macro="">
      <xdr:nvGraphicFramePr>
        <xdr:cNvPr id="5" name="Chart 4">
          <a:extLst>
            <a:ext uri="{FF2B5EF4-FFF2-40B4-BE49-F238E27FC236}">
              <a16:creationId xmlns:a16="http://schemas.microsoft.com/office/drawing/2014/main" id="{DE63D344-DDCA-43F5-B9BE-FE4BE4937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741123</xdr:colOff>
      <xdr:row>44</xdr:row>
      <xdr:rowOff>167013</xdr:rowOff>
    </xdr:from>
    <xdr:to>
      <xdr:col>12</xdr:col>
      <xdr:colOff>459287</xdr:colOff>
      <xdr:row>73</xdr:row>
      <xdr:rowOff>163286</xdr:rowOff>
    </xdr:to>
    <xdr:graphicFrame macro="">
      <xdr:nvGraphicFramePr>
        <xdr:cNvPr id="6" name="Chart 5">
          <a:extLst>
            <a:ext uri="{FF2B5EF4-FFF2-40B4-BE49-F238E27FC236}">
              <a16:creationId xmlns:a16="http://schemas.microsoft.com/office/drawing/2014/main" id="{DD4E2048-A4FC-4875-B0D2-E00800BD7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574110</xdr:colOff>
      <xdr:row>75</xdr:row>
      <xdr:rowOff>118242</xdr:rowOff>
    </xdr:from>
    <xdr:to>
      <xdr:col>9</xdr:col>
      <xdr:colOff>801413</xdr:colOff>
      <xdr:row>98</xdr:row>
      <xdr:rowOff>112734</xdr:rowOff>
    </xdr:to>
    <xdr:graphicFrame macro="">
      <xdr:nvGraphicFramePr>
        <xdr:cNvPr id="8" name="Chart 7">
          <a:extLst>
            <a:ext uri="{FF2B5EF4-FFF2-40B4-BE49-F238E27FC236}">
              <a16:creationId xmlns:a16="http://schemas.microsoft.com/office/drawing/2014/main" id="{D0109124-ECB9-4CE5-943B-1F41CDB36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refreshedDate="46298.793308912034" createdVersion="8" refreshedVersion="8" minRefreshableVersion="3" recordCount="100" xr:uid="{B5056C0B-597C-4F0A-A9BA-2174D2BA052D}">
  <cacheSource type="worksheet">
    <worksheetSource name="Table2"/>
  </cacheSource>
  <cacheFields count="17">
    <cacheField name="Order_ID" numFmtId="0">
      <sharedItems/>
    </cacheField>
    <cacheField name="Order_Date" numFmtId="164">
      <sharedItems containsSemiMixedTypes="0" containsNonDate="0" containsDate="1" containsString="0" minDate="2026-01-01T00:00:00" maxDate="2026-12-28T00:00:00"/>
    </cacheField>
    <cacheField name="Customer_Name" numFmtId="0">
      <sharedItems/>
    </cacheField>
    <cacheField name="Region" numFmtId="0">
      <sharedItems count="4">
        <s v="North"/>
        <s v="East"/>
        <s v="West"/>
        <s v="South"/>
      </sharedItems>
    </cacheField>
    <cacheField name="Category" numFmtId="0">
      <sharedItems count="3">
        <s v="Electronics"/>
        <s v="Furniture"/>
        <s v="Clothing"/>
      </sharedItems>
    </cacheField>
    <cacheField name="Product" numFmtId="0">
      <sharedItems count="15">
        <s v="Laptop"/>
        <s v="Office Chair"/>
        <s v="Dress"/>
        <s v="Sneakers"/>
        <s v="Smart Watch"/>
        <s v="Bookshelf"/>
        <s v="Jeans"/>
        <s v="Smartphone"/>
        <s v="Desk Lamp"/>
        <s v="Sofa"/>
        <s v="Jacket"/>
        <s v="Study Table"/>
        <s v="Tablet"/>
        <s v="T-Shirt"/>
        <s v="Headphon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900" maxValue="55000"/>
    </cacheField>
    <cacheField name="Discount" numFmtId="0">
      <sharedItems containsSemiMixedTypes="0" containsString="0" containsNumber="1" minValue="0" maxValue="0.15"/>
    </cacheField>
    <cacheField name="Payment_Mode" numFmtId="0">
      <sharedItems count="4">
        <s v="UPI"/>
        <s v="Credit Card"/>
        <s v="Cash"/>
        <s v="Debit Card"/>
      </sharedItems>
    </cacheField>
    <cacheField name="Sales" numFmtId="0">
      <sharedItems containsSemiMixedTypes="0" containsString="0" containsNumber="1" containsInteger="1" minValue="855" maxValue="261250" count="80">
        <n v="156750"/>
        <n v="7000"/>
        <n v="8360"/>
        <n v="9120"/>
        <n v="19950"/>
        <n v="5400"/>
        <n v="104500"/>
        <n v="10450"/>
        <n v="7650"/>
        <n v="3740"/>
        <n v="5225"/>
        <n v="6080"/>
        <n v="100800"/>
        <n v="1530"/>
        <n v="43200"/>
        <n v="8550"/>
        <n v="24000"/>
        <n v="2125"/>
        <n v="3420"/>
        <n v="4860"/>
        <n v="165000"/>
        <n v="110000"/>
        <n v="5760"/>
        <n v="9000"/>
        <n v="2500"/>
        <n v="83600"/>
        <n v="30000"/>
        <n v="21600"/>
        <n v="16200"/>
        <n v="8100"/>
        <n v="14400"/>
        <n v="4500"/>
        <n v="27000"/>
        <n v="1710"/>
        <n v="198000"/>
        <n v="3825"/>
        <n v="5950"/>
        <n v="18000"/>
        <n v="13600"/>
        <n v="10500"/>
        <n v="75600"/>
        <n v="11400"/>
        <n v="106400"/>
        <n v="15200"/>
        <n v="6300"/>
        <n v="4180"/>
        <n v="16625"/>
        <n v="95200"/>
        <n v="9975"/>
        <n v="40500"/>
        <n v="6650"/>
        <n v="28000"/>
        <n v="1620"/>
        <n v="7920"/>
        <n v="15750"/>
        <n v="19800"/>
        <n v="96000"/>
        <n v="34200"/>
        <n v="14850"/>
        <n v="20900"/>
        <n v="261250"/>
        <n v="17100"/>
        <n v="9600"/>
        <n v="15300"/>
        <n v="4050"/>
        <n v="148500"/>
        <n v="9900"/>
        <n v="3060"/>
        <n v="30600"/>
        <n v="11000"/>
        <n v="25650"/>
        <n v="56100"/>
        <n v="86400"/>
        <n v="855"/>
        <n v="91200"/>
        <n v="4250"/>
        <n v="71400"/>
        <n v="3960"/>
        <n v="52250"/>
        <n v="8500"/>
      </sharedItems>
    </cacheField>
    <cacheField name="Cost" numFmtId="0">
      <sharedItems containsSemiMixedTypes="0" containsString="0" containsNumber="1" minValue="530.1" maxValue="188100"/>
    </cacheField>
    <cacheField name="Profit" numFmtId="0">
      <sharedItems containsSemiMixedTypes="0" containsString="0" containsNumber="1" minValue="324.89999999999998" maxValue="73150"/>
    </cacheField>
    <cacheField name="Profit_%" numFmtId="0">
      <sharedItems containsSemiMixedTypes="0" containsString="0" containsNumber="1" minValue="0.28000000000000003" maxValue="0.38"/>
    </cacheField>
    <cacheField name="Month" numFmtId="0">
      <sharedItems containsSemiMixedTypes="0" containsString="0" containsNumber="1" containsInteger="1" minValue="1" maxValue="12" count="12">
        <n v="11"/>
        <n v="10"/>
        <n v="3"/>
        <n v="2"/>
        <n v="12"/>
        <n v="5"/>
        <n v="6"/>
        <n v="7"/>
        <n v="9"/>
        <n v="1"/>
        <n v="8"/>
        <n v="4"/>
      </sharedItems>
    </cacheField>
    <cacheField name="Month_Name" numFmtId="0">
      <sharedItems count="12">
        <s v="Nov"/>
        <s v="Oct"/>
        <s v="Mar"/>
        <s v="Feb"/>
        <s v="Dec"/>
        <s v="May"/>
        <s v="Jun"/>
        <s v="Jul"/>
        <s v="Sep"/>
        <s v="Jan"/>
        <s v="Aug"/>
        <s v="Apr"/>
      </sharedItems>
    </cacheField>
    <cacheField name="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pivotCacheId="864992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d v="2026-11-24T00:00:00"/>
    <s v="Pooja Jadhav"/>
    <x v="0"/>
    <x v="0"/>
    <x v="0"/>
    <n v="3"/>
    <n v="55000"/>
    <n v="0.05"/>
    <x v="0"/>
    <x v="0"/>
    <n v="112860"/>
    <n v="43890"/>
    <n v="0.28000000000000003"/>
    <x v="0"/>
    <x v="0"/>
    <n v="2026"/>
  </r>
  <r>
    <s v="ORD002"/>
    <d v="2026-10-30T00:00:00"/>
    <s v="Aditya Kulkarni"/>
    <x v="0"/>
    <x v="1"/>
    <x v="1"/>
    <n v="1"/>
    <n v="7000"/>
    <n v="0"/>
    <x v="1"/>
    <x v="1"/>
    <n v="4760"/>
    <n v="2240"/>
    <n v="0.32"/>
    <x v="1"/>
    <x v="1"/>
    <n v="2026"/>
  </r>
  <r>
    <s v="ORD003"/>
    <d v="2026-11-29T00:00:00"/>
    <s v="Sahil Chavan"/>
    <x v="1"/>
    <x v="2"/>
    <x v="2"/>
    <n v="4"/>
    <n v="2200"/>
    <n v="0.05"/>
    <x v="0"/>
    <x v="2"/>
    <n v="5183.2"/>
    <n v="3176.8"/>
    <n v="0.38"/>
    <x v="0"/>
    <x v="0"/>
    <n v="2026"/>
  </r>
  <r>
    <s v="ORD004"/>
    <d v="2026-03-23T00:00:00"/>
    <s v="Rohan Kulkarni"/>
    <x v="1"/>
    <x v="2"/>
    <x v="3"/>
    <n v="3"/>
    <n v="3200"/>
    <n v="0.05"/>
    <x v="0"/>
    <x v="3"/>
    <n v="5654.4"/>
    <n v="3465.6"/>
    <n v="0.38"/>
    <x v="2"/>
    <x v="2"/>
    <n v="2026"/>
  </r>
  <r>
    <s v="ORD005"/>
    <d v="2026-02-17T00:00:00"/>
    <s v="Shreya Deshmukh"/>
    <x v="0"/>
    <x v="1"/>
    <x v="1"/>
    <n v="3"/>
    <n v="7000"/>
    <n v="0.05"/>
    <x v="2"/>
    <x v="4"/>
    <n v="13566"/>
    <n v="6384"/>
    <n v="0.32"/>
    <x v="3"/>
    <x v="3"/>
    <n v="2026"/>
  </r>
  <r>
    <s v="ORD006"/>
    <d v="2026-10-02T00:00:00"/>
    <s v="Ananya Chavan"/>
    <x v="1"/>
    <x v="0"/>
    <x v="4"/>
    <n v="1"/>
    <n v="6000"/>
    <n v="0.1"/>
    <x v="1"/>
    <x v="5"/>
    <n v="3888"/>
    <n v="1512"/>
    <n v="0.28000000000000003"/>
    <x v="1"/>
    <x v="1"/>
    <n v="2026"/>
  </r>
  <r>
    <s v="ORD007"/>
    <d v="2026-12-27T00:00:00"/>
    <s v="Rahul Kulkarni"/>
    <x v="0"/>
    <x v="0"/>
    <x v="0"/>
    <n v="2"/>
    <n v="55000"/>
    <n v="0.05"/>
    <x v="2"/>
    <x v="6"/>
    <n v="75240"/>
    <n v="29260"/>
    <n v="0.28000000000000003"/>
    <x v="4"/>
    <x v="4"/>
    <n v="2026"/>
  </r>
  <r>
    <s v="ORD008"/>
    <d v="2026-05-23T00:00:00"/>
    <s v="Isha Kulkarni"/>
    <x v="1"/>
    <x v="1"/>
    <x v="5"/>
    <n v="2"/>
    <n v="5500"/>
    <n v="0.05"/>
    <x v="0"/>
    <x v="7"/>
    <n v="7106"/>
    <n v="3344"/>
    <n v="0.32"/>
    <x v="5"/>
    <x v="5"/>
    <n v="2026"/>
  </r>
  <r>
    <s v="ORD009"/>
    <d v="2026-11-08T00:00:00"/>
    <s v="Pooja Jadhav"/>
    <x v="2"/>
    <x v="2"/>
    <x v="6"/>
    <n v="5"/>
    <n v="1800"/>
    <n v="0.15"/>
    <x v="2"/>
    <x v="8"/>
    <n v="4743"/>
    <n v="2907"/>
    <n v="0.38"/>
    <x v="0"/>
    <x v="0"/>
    <n v="2026"/>
  </r>
  <r>
    <s v="ORD010"/>
    <d v="2026-05-19T00:00:00"/>
    <s v="Karan Sharma"/>
    <x v="3"/>
    <x v="2"/>
    <x v="2"/>
    <n v="2"/>
    <n v="2200"/>
    <n v="0.15"/>
    <x v="0"/>
    <x v="9"/>
    <n v="2318.8000000000002"/>
    <n v="1421.2"/>
    <n v="0.38"/>
    <x v="5"/>
    <x v="5"/>
    <n v="2026"/>
  </r>
  <r>
    <s v="ORD011"/>
    <d v="2026-06-11T00:00:00"/>
    <s v="Amit Joshi"/>
    <x v="3"/>
    <x v="1"/>
    <x v="5"/>
    <n v="1"/>
    <n v="5500"/>
    <n v="0.05"/>
    <x v="2"/>
    <x v="10"/>
    <n v="3553"/>
    <n v="1672"/>
    <n v="0.32"/>
    <x v="6"/>
    <x v="6"/>
    <n v="2026"/>
  </r>
  <r>
    <s v="ORD012"/>
    <d v="2026-07-22T00:00:00"/>
    <s v="Rohan Kulkarni"/>
    <x v="1"/>
    <x v="2"/>
    <x v="3"/>
    <n v="2"/>
    <n v="3200"/>
    <n v="0.05"/>
    <x v="2"/>
    <x v="11"/>
    <n v="3769.6"/>
    <n v="2310.4"/>
    <n v="0.38"/>
    <x v="7"/>
    <x v="7"/>
    <n v="2026"/>
  </r>
  <r>
    <s v="ORD013"/>
    <d v="2026-10-26T00:00:00"/>
    <s v="Arjun More"/>
    <x v="0"/>
    <x v="1"/>
    <x v="5"/>
    <n v="2"/>
    <n v="5500"/>
    <n v="0.05"/>
    <x v="0"/>
    <x v="7"/>
    <n v="7106"/>
    <n v="3344"/>
    <n v="0.32"/>
    <x v="1"/>
    <x v="1"/>
    <n v="2026"/>
  </r>
  <r>
    <s v="ORD014"/>
    <d v="2026-02-26T00:00:00"/>
    <s v="Rahul Pawar"/>
    <x v="2"/>
    <x v="0"/>
    <x v="7"/>
    <n v="4"/>
    <n v="28000"/>
    <n v="0.1"/>
    <x v="2"/>
    <x v="12"/>
    <n v="72576"/>
    <n v="28224"/>
    <n v="0.28000000000000003"/>
    <x v="3"/>
    <x v="3"/>
    <n v="2026"/>
  </r>
  <r>
    <s v="ORD015"/>
    <d v="2026-09-28T00:00:00"/>
    <s v="Sneha Kadam"/>
    <x v="1"/>
    <x v="1"/>
    <x v="8"/>
    <n v="1"/>
    <n v="1800"/>
    <n v="0.15"/>
    <x v="3"/>
    <x v="13"/>
    <n v="1040.4000000000001"/>
    <n v="489.6"/>
    <n v="0.32"/>
    <x v="8"/>
    <x v="8"/>
    <n v="2026"/>
  </r>
  <r>
    <s v="ORD016"/>
    <d v="2026-02-27T00:00:00"/>
    <s v="Aarav Deshmukh"/>
    <x v="3"/>
    <x v="1"/>
    <x v="9"/>
    <n v="2"/>
    <n v="24000"/>
    <n v="0.1"/>
    <x v="0"/>
    <x v="14"/>
    <n v="29376"/>
    <n v="13824"/>
    <n v="0.32"/>
    <x v="3"/>
    <x v="3"/>
    <n v="2026"/>
  </r>
  <r>
    <s v="ORD017"/>
    <d v="2026-11-17T00:00:00"/>
    <s v="Rohan Joshi"/>
    <x v="3"/>
    <x v="1"/>
    <x v="8"/>
    <n v="5"/>
    <n v="1800"/>
    <n v="0.05"/>
    <x v="0"/>
    <x v="15"/>
    <n v="5814"/>
    <n v="2736"/>
    <n v="0.32"/>
    <x v="0"/>
    <x v="0"/>
    <n v="2026"/>
  </r>
  <r>
    <s v="ORD018"/>
    <d v="2026-11-03T00:00:00"/>
    <s v="Isha Deshmukh"/>
    <x v="3"/>
    <x v="1"/>
    <x v="9"/>
    <n v="1"/>
    <n v="24000"/>
    <n v="0"/>
    <x v="0"/>
    <x v="16"/>
    <n v="16320"/>
    <n v="7680"/>
    <n v="0.32"/>
    <x v="0"/>
    <x v="0"/>
    <n v="2026"/>
  </r>
  <r>
    <s v="ORD019"/>
    <d v="2026-05-04T00:00:00"/>
    <s v="Kavya Patil"/>
    <x v="3"/>
    <x v="2"/>
    <x v="10"/>
    <n v="1"/>
    <n v="2500"/>
    <n v="0.15"/>
    <x v="1"/>
    <x v="17"/>
    <n v="1317.5"/>
    <n v="807.5"/>
    <n v="0.38"/>
    <x v="5"/>
    <x v="5"/>
    <n v="2026"/>
  </r>
  <r>
    <s v="ORD020"/>
    <d v="2026-12-04T00:00:00"/>
    <s v="Arjun Chavan"/>
    <x v="2"/>
    <x v="1"/>
    <x v="8"/>
    <n v="2"/>
    <n v="1800"/>
    <n v="0.05"/>
    <x v="1"/>
    <x v="18"/>
    <n v="2325.6"/>
    <n v="1094.4000000000001"/>
    <n v="0.32"/>
    <x v="4"/>
    <x v="4"/>
    <n v="2026"/>
  </r>
  <r>
    <s v="ORD021"/>
    <d v="2026-10-04T00:00:00"/>
    <s v="Isha More"/>
    <x v="2"/>
    <x v="2"/>
    <x v="6"/>
    <n v="3"/>
    <n v="1800"/>
    <n v="0.1"/>
    <x v="0"/>
    <x v="19"/>
    <n v="3013.2"/>
    <n v="1846.8"/>
    <n v="0.38"/>
    <x v="1"/>
    <x v="1"/>
    <n v="2026"/>
  </r>
  <r>
    <s v="ORD022"/>
    <d v="2026-05-07T00:00:00"/>
    <s v="Amit Kadam"/>
    <x v="3"/>
    <x v="0"/>
    <x v="0"/>
    <n v="3"/>
    <n v="55000"/>
    <n v="0"/>
    <x v="1"/>
    <x v="20"/>
    <n v="118800"/>
    <n v="46200"/>
    <n v="0.28000000000000003"/>
    <x v="5"/>
    <x v="5"/>
    <n v="2026"/>
  </r>
  <r>
    <s v="ORD023"/>
    <d v="2026-01-04T00:00:00"/>
    <s v="Priya Joshi"/>
    <x v="0"/>
    <x v="0"/>
    <x v="0"/>
    <n v="2"/>
    <n v="55000"/>
    <n v="0"/>
    <x v="1"/>
    <x v="21"/>
    <n v="79200"/>
    <n v="30800"/>
    <n v="0.28000000000000003"/>
    <x v="9"/>
    <x v="9"/>
    <n v="2026"/>
  </r>
  <r>
    <s v="ORD024"/>
    <d v="2026-05-23T00:00:00"/>
    <s v="Rohan Chavan"/>
    <x v="2"/>
    <x v="2"/>
    <x v="3"/>
    <n v="2"/>
    <n v="3200"/>
    <n v="0.1"/>
    <x v="1"/>
    <x v="22"/>
    <n v="3571.2"/>
    <n v="2188.8000000000002"/>
    <n v="0.38"/>
    <x v="5"/>
    <x v="5"/>
    <n v="2026"/>
  </r>
  <r>
    <s v="ORD025"/>
    <d v="2026-08-31T00:00:00"/>
    <s v="Meera Joshi"/>
    <x v="2"/>
    <x v="1"/>
    <x v="11"/>
    <n v="1"/>
    <n v="9000"/>
    <n v="0"/>
    <x v="2"/>
    <x v="23"/>
    <n v="6120"/>
    <n v="2880"/>
    <n v="0.32"/>
    <x v="10"/>
    <x v="10"/>
    <n v="2026"/>
  </r>
  <r>
    <s v="ORD026"/>
    <d v="2026-08-28T00:00:00"/>
    <s v="Nikhil Joshi"/>
    <x v="0"/>
    <x v="2"/>
    <x v="10"/>
    <n v="1"/>
    <n v="2500"/>
    <n v="0"/>
    <x v="1"/>
    <x v="24"/>
    <n v="1550"/>
    <n v="950"/>
    <n v="0.38"/>
    <x v="10"/>
    <x v="10"/>
    <n v="2026"/>
  </r>
  <r>
    <s v="ORD027"/>
    <d v="2026-04-09T00:00:00"/>
    <s v="Meera Jadhav"/>
    <x v="1"/>
    <x v="0"/>
    <x v="12"/>
    <n v="4"/>
    <n v="22000"/>
    <n v="0.05"/>
    <x v="2"/>
    <x v="25"/>
    <n v="60192"/>
    <n v="23408"/>
    <n v="0.28000000000000003"/>
    <x v="11"/>
    <x v="11"/>
    <n v="2026"/>
  </r>
  <r>
    <s v="ORD028"/>
    <d v="2026-05-08T00:00:00"/>
    <s v="Priya Kadam"/>
    <x v="0"/>
    <x v="0"/>
    <x v="4"/>
    <n v="5"/>
    <n v="6000"/>
    <n v="0"/>
    <x v="0"/>
    <x v="26"/>
    <n v="21600"/>
    <n v="8400"/>
    <n v="0.28000000000000003"/>
    <x v="5"/>
    <x v="5"/>
    <n v="2026"/>
  </r>
  <r>
    <s v="ORD029"/>
    <d v="2026-05-02T00:00:00"/>
    <s v="Aditya Pawar"/>
    <x v="0"/>
    <x v="0"/>
    <x v="4"/>
    <n v="4"/>
    <n v="6000"/>
    <n v="0.1"/>
    <x v="1"/>
    <x v="27"/>
    <n v="15552"/>
    <n v="6048"/>
    <n v="0.28000000000000003"/>
    <x v="5"/>
    <x v="5"/>
    <n v="2026"/>
  </r>
  <r>
    <s v="ORD030"/>
    <d v="2026-07-14T00:00:00"/>
    <s v="Ananya Pawar"/>
    <x v="2"/>
    <x v="0"/>
    <x v="4"/>
    <n v="3"/>
    <n v="6000"/>
    <n v="0.1"/>
    <x v="1"/>
    <x v="28"/>
    <n v="11664"/>
    <n v="4536"/>
    <n v="0.28000000000000003"/>
    <x v="7"/>
    <x v="7"/>
    <n v="2026"/>
  </r>
  <r>
    <s v="ORD031"/>
    <d v="2026-04-08T00:00:00"/>
    <s v="Riya Sharma"/>
    <x v="1"/>
    <x v="1"/>
    <x v="11"/>
    <n v="1"/>
    <n v="9000"/>
    <n v="0.1"/>
    <x v="0"/>
    <x v="29"/>
    <n v="5508"/>
    <n v="2592"/>
    <n v="0.32"/>
    <x v="11"/>
    <x v="11"/>
    <n v="2026"/>
  </r>
  <r>
    <s v="ORD032"/>
    <d v="2026-01-26T00:00:00"/>
    <s v="Neha Sharma"/>
    <x v="0"/>
    <x v="2"/>
    <x v="3"/>
    <n v="5"/>
    <n v="3200"/>
    <n v="0.1"/>
    <x v="1"/>
    <x v="30"/>
    <n v="8928"/>
    <n v="5472"/>
    <n v="0.38"/>
    <x v="9"/>
    <x v="9"/>
    <n v="2026"/>
  </r>
  <r>
    <s v="ORD033"/>
    <d v="2026-02-05T00:00:00"/>
    <s v="Sneha Chavan"/>
    <x v="3"/>
    <x v="2"/>
    <x v="10"/>
    <n v="2"/>
    <n v="2500"/>
    <n v="0.1"/>
    <x v="0"/>
    <x v="31"/>
    <n v="2790"/>
    <n v="1710"/>
    <n v="0.38"/>
    <x v="3"/>
    <x v="3"/>
    <n v="2026"/>
  </r>
  <r>
    <s v="ORD034"/>
    <d v="2026-11-14T00:00:00"/>
    <s v="Arjun Joshi"/>
    <x v="1"/>
    <x v="0"/>
    <x v="4"/>
    <n v="5"/>
    <n v="6000"/>
    <n v="0.1"/>
    <x v="1"/>
    <x v="32"/>
    <n v="19440"/>
    <n v="7560"/>
    <n v="0.28000000000000003"/>
    <x v="0"/>
    <x v="0"/>
    <n v="2026"/>
  </r>
  <r>
    <s v="ORD035"/>
    <d v="2026-12-09T00:00:00"/>
    <s v="Nikhil Jadhav"/>
    <x v="1"/>
    <x v="2"/>
    <x v="13"/>
    <n v="2"/>
    <n v="900"/>
    <n v="0.05"/>
    <x v="2"/>
    <x v="33"/>
    <n v="1060.2"/>
    <n v="649.79999999999995"/>
    <n v="0.37999999999999989"/>
    <x v="4"/>
    <x v="4"/>
    <n v="2026"/>
  </r>
  <r>
    <s v="ORD036"/>
    <d v="2026-06-11T00:00:00"/>
    <s v="Amit Patil"/>
    <x v="0"/>
    <x v="0"/>
    <x v="0"/>
    <n v="4"/>
    <n v="55000"/>
    <n v="0.1"/>
    <x v="1"/>
    <x v="34"/>
    <n v="142560"/>
    <n v="55440"/>
    <n v="0.28000000000000003"/>
    <x v="6"/>
    <x v="6"/>
    <n v="2026"/>
  </r>
  <r>
    <s v="ORD037"/>
    <d v="2026-09-17T00:00:00"/>
    <s v="Pooja Joshi"/>
    <x v="1"/>
    <x v="1"/>
    <x v="11"/>
    <n v="3"/>
    <n v="9000"/>
    <n v="0"/>
    <x v="1"/>
    <x v="32"/>
    <n v="18360"/>
    <n v="8640"/>
    <n v="0.32"/>
    <x v="8"/>
    <x v="8"/>
    <n v="2026"/>
  </r>
  <r>
    <s v="ORD038"/>
    <d v="2026-08-13T00:00:00"/>
    <s v="Arjun Sharma"/>
    <x v="1"/>
    <x v="2"/>
    <x v="13"/>
    <n v="5"/>
    <n v="900"/>
    <n v="0.15"/>
    <x v="0"/>
    <x v="35"/>
    <n v="2371.5"/>
    <n v="1453.5"/>
    <n v="0.38"/>
    <x v="10"/>
    <x v="10"/>
    <n v="2026"/>
  </r>
  <r>
    <s v="ORD039"/>
    <d v="2026-03-10T00:00:00"/>
    <s v="Riya Jadhav"/>
    <x v="1"/>
    <x v="1"/>
    <x v="1"/>
    <n v="1"/>
    <n v="7000"/>
    <n v="0.15"/>
    <x v="3"/>
    <x v="36"/>
    <n v="4046"/>
    <n v="1904"/>
    <n v="0.32"/>
    <x v="2"/>
    <x v="2"/>
    <n v="2026"/>
  </r>
  <r>
    <s v="ORD040"/>
    <d v="2026-11-06T00:00:00"/>
    <s v="Vikram Kadam"/>
    <x v="2"/>
    <x v="0"/>
    <x v="14"/>
    <n v="2"/>
    <n v="3500"/>
    <n v="0.15"/>
    <x v="3"/>
    <x v="36"/>
    <n v="4284"/>
    <n v="1666"/>
    <n v="0.28000000000000003"/>
    <x v="0"/>
    <x v="0"/>
    <n v="2026"/>
  </r>
  <r>
    <s v="ORD041"/>
    <d v="2026-01-27T00:00:00"/>
    <s v="Aarav Joshi"/>
    <x v="3"/>
    <x v="0"/>
    <x v="4"/>
    <n v="3"/>
    <n v="6000"/>
    <n v="0"/>
    <x v="3"/>
    <x v="37"/>
    <n v="12960"/>
    <n v="5040"/>
    <n v="0.28000000000000003"/>
    <x v="9"/>
    <x v="9"/>
    <n v="2026"/>
  </r>
  <r>
    <s v="ORD042"/>
    <d v="2026-03-24T00:00:00"/>
    <s v="Meera Kadam"/>
    <x v="0"/>
    <x v="2"/>
    <x v="3"/>
    <n v="5"/>
    <n v="3200"/>
    <n v="0.15"/>
    <x v="0"/>
    <x v="38"/>
    <n v="8432"/>
    <n v="5168"/>
    <n v="0.38"/>
    <x v="2"/>
    <x v="2"/>
    <n v="2026"/>
  </r>
  <r>
    <s v="ORD043"/>
    <d v="2026-02-08T00:00:00"/>
    <s v="Isha Chavan"/>
    <x v="3"/>
    <x v="2"/>
    <x v="6"/>
    <n v="5"/>
    <n v="1800"/>
    <n v="0"/>
    <x v="2"/>
    <x v="23"/>
    <n v="5580"/>
    <n v="3420"/>
    <n v="0.38"/>
    <x v="3"/>
    <x v="3"/>
    <n v="2026"/>
  </r>
  <r>
    <s v="ORD044"/>
    <d v="2026-03-07T00:00:00"/>
    <s v="Isha Kulkarni"/>
    <x v="3"/>
    <x v="0"/>
    <x v="14"/>
    <n v="3"/>
    <n v="3500"/>
    <n v="0"/>
    <x v="0"/>
    <x v="39"/>
    <n v="7560"/>
    <n v="2940"/>
    <n v="0.28000000000000003"/>
    <x v="2"/>
    <x v="2"/>
    <n v="2026"/>
  </r>
  <r>
    <s v="ORD045"/>
    <d v="2026-07-01T00:00:00"/>
    <s v="Rohan Kulkarni"/>
    <x v="3"/>
    <x v="2"/>
    <x v="3"/>
    <n v="5"/>
    <n v="3200"/>
    <n v="0.15"/>
    <x v="1"/>
    <x v="38"/>
    <n v="8432"/>
    <n v="5168"/>
    <n v="0.38"/>
    <x v="7"/>
    <x v="7"/>
    <n v="2026"/>
  </r>
  <r>
    <s v="ORD046"/>
    <d v="2026-07-31T00:00:00"/>
    <s v="Pooja Deshmukh"/>
    <x v="3"/>
    <x v="0"/>
    <x v="7"/>
    <n v="3"/>
    <n v="28000"/>
    <n v="0.1"/>
    <x v="0"/>
    <x v="40"/>
    <n v="54432"/>
    <n v="21168"/>
    <n v="0.28000000000000003"/>
    <x v="7"/>
    <x v="7"/>
    <n v="2026"/>
  </r>
  <r>
    <s v="ORD047"/>
    <d v="2026-07-15T00:00:00"/>
    <s v="Sahil Joshi"/>
    <x v="1"/>
    <x v="0"/>
    <x v="4"/>
    <n v="2"/>
    <n v="6000"/>
    <n v="0.05"/>
    <x v="1"/>
    <x v="41"/>
    <n v="8208"/>
    <n v="3192"/>
    <n v="0.28000000000000003"/>
    <x v="7"/>
    <x v="7"/>
    <n v="2026"/>
  </r>
  <r>
    <s v="ORD048"/>
    <d v="2026-04-25T00:00:00"/>
    <s v="Vikram Patil"/>
    <x v="1"/>
    <x v="0"/>
    <x v="7"/>
    <n v="4"/>
    <n v="28000"/>
    <n v="0.05"/>
    <x v="3"/>
    <x v="42"/>
    <n v="76608"/>
    <n v="29792"/>
    <n v="0.28000000000000003"/>
    <x v="11"/>
    <x v="11"/>
    <n v="2026"/>
  </r>
  <r>
    <s v="ORD049"/>
    <d v="2026-11-25T00:00:00"/>
    <s v="Aarav Patil"/>
    <x v="1"/>
    <x v="2"/>
    <x v="3"/>
    <n v="5"/>
    <n v="3200"/>
    <n v="0.05"/>
    <x v="1"/>
    <x v="43"/>
    <n v="9424"/>
    <n v="5776"/>
    <n v="0.38"/>
    <x v="0"/>
    <x v="0"/>
    <n v="2026"/>
  </r>
  <r>
    <s v="ORD050"/>
    <d v="2026-10-25T00:00:00"/>
    <s v="Meera Joshi"/>
    <x v="1"/>
    <x v="1"/>
    <x v="1"/>
    <n v="1"/>
    <n v="7000"/>
    <n v="0.1"/>
    <x v="2"/>
    <x v="44"/>
    <n v="4284"/>
    <n v="2016"/>
    <n v="0.32"/>
    <x v="1"/>
    <x v="1"/>
    <n v="2026"/>
  </r>
  <r>
    <s v="ORD051"/>
    <d v="2026-11-07T00:00:00"/>
    <s v="Aditya Deshmukh"/>
    <x v="0"/>
    <x v="2"/>
    <x v="10"/>
    <n v="4"/>
    <n v="2500"/>
    <n v="0.1"/>
    <x v="2"/>
    <x v="23"/>
    <n v="5580"/>
    <n v="3420"/>
    <n v="0.38"/>
    <x v="0"/>
    <x v="0"/>
    <n v="2026"/>
  </r>
  <r>
    <s v="ORD052"/>
    <d v="2026-01-01T00:00:00"/>
    <s v="Meera Patil"/>
    <x v="1"/>
    <x v="2"/>
    <x v="2"/>
    <n v="2"/>
    <n v="2200"/>
    <n v="0.05"/>
    <x v="3"/>
    <x v="45"/>
    <n v="2591.6"/>
    <n v="1588.4"/>
    <n v="0.38"/>
    <x v="9"/>
    <x v="9"/>
    <n v="2026"/>
  </r>
  <r>
    <s v="ORD053"/>
    <d v="2026-12-06T00:00:00"/>
    <s v="Meera Joshi"/>
    <x v="2"/>
    <x v="0"/>
    <x v="14"/>
    <n v="5"/>
    <n v="3500"/>
    <n v="0.05"/>
    <x v="3"/>
    <x v="46"/>
    <n v="11970"/>
    <n v="4655"/>
    <n v="0.28000000000000003"/>
    <x v="4"/>
    <x v="4"/>
    <n v="2026"/>
  </r>
  <r>
    <s v="ORD054"/>
    <d v="2026-10-11T00:00:00"/>
    <s v="Nikhil Jadhav"/>
    <x v="1"/>
    <x v="0"/>
    <x v="7"/>
    <n v="4"/>
    <n v="28000"/>
    <n v="0.15"/>
    <x v="2"/>
    <x v="47"/>
    <n v="68544"/>
    <n v="26656"/>
    <n v="0.28000000000000003"/>
    <x v="1"/>
    <x v="1"/>
    <n v="2026"/>
  </r>
  <r>
    <s v="ORD055"/>
    <d v="2026-10-08T00:00:00"/>
    <s v="Meera Chavan"/>
    <x v="1"/>
    <x v="0"/>
    <x v="14"/>
    <n v="3"/>
    <n v="3500"/>
    <n v="0.05"/>
    <x v="2"/>
    <x v="48"/>
    <n v="7182"/>
    <n v="2793"/>
    <n v="0.28000000000000003"/>
    <x v="1"/>
    <x v="1"/>
    <n v="2026"/>
  </r>
  <r>
    <s v="ORD056"/>
    <d v="2026-08-15T00:00:00"/>
    <s v="Neha Patil"/>
    <x v="1"/>
    <x v="1"/>
    <x v="11"/>
    <n v="5"/>
    <n v="9000"/>
    <n v="0.1"/>
    <x v="3"/>
    <x v="49"/>
    <n v="27540"/>
    <n v="12960"/>
    <n v="0.32"/>
    <x v="10"/>
    <x v="10"/>
    <n v="2026"/>
  </r>
  <r>
    <s v="ORD057"/>
    <d v="2026-02-17T00:00:00"/>
    <s v="Rohan Sharma"/>
    <x v="0"/>
    <x v="0"/>
    <x v="14"/>
    <n v="2"/>
    <n v="3500"/>
    <n v="0.05"/>
    <x v="1"/>
    <x v="50"/>
    <n v="4788"/>
    <n v="1862"/>
    <n v="0.28000000000000003"/>
    <x v="3"/>
    <x v="3"/>
    <n v="2026"/>
  </r>
  <r>
    <s v="ORD058"/>
    <d v="2026-09-01T00:00:00"/>
    <s v="Amit Kulkarni"/>
    <x v="2"/>
    <x v="2"/>
    <x v="10"/>
    <n v="4"/>
    <n v="2500"/>
    <n v="0.1"/>
    <x v="2"/>
    <x v="23"/>
    <n v="5580"/>
    <n v="3420"/>
    <n v="0.38"/>
    <x v="8"/>
    <x v="8"/>
    <n v="2026"/>
  </r>
  <r>
    <s v="ORD059"/>
    <d v="2026-07-24T00:00:00"/>
    <s v="Meera Kulkarni"/>
    <x v="3"/>
    <x v="0"/>
    <x v="7"/>
    <n v="1"/>
    <n v="28000"/>
    <n v="0"/>
    <x v="2"/>
    <x v="51"/>
    <n v="20160"/>
    <n v="7840"/>
    <n v="0.28000000000000003"/>
    <x v="7"/>
    <x v="7"/>
    <n v="2026"/>
  </r>
  <r>
    <s v="ORD060"/>
    <d v="2026-01-26T00:00:00"/>
    <s v="Rohan More"/>
    <x v="1"/>
    <x v="2"/>
    <x v="6"/>
    <n v="1"/>
    <n v="1800"/>
    <n v="0.1"/>
    <x v="2"/>
    <x v="52"/>
    <n v="1004.4"/>
    <n v="615.6"/>
    <n v="0.38"/>
    <x v="9"/>
    <x v="9"/>
    <n v="2026"/>
  </r>
  <r>
    <s v="ORD061"/>
    <d v="2026-11-10T00:00:00"/>
    <s v="Sahil Jadhav"/>
    <x v="2"/>
    <x v="2"/>
    <x v="2"/>
    <n v="4"/>
    <n v="2200"/>
    <n v="0.1"/>
    <x v="2"/>
    <x v="53"/>
    <n v="4910.3999999999996"/>
    <n v="3009.6"/>
    <n v="0.38"/>
    <x v="0"/>
    <x v="0"/>
    <n v="2026"/>
  </r>
  <r>
    <s v="ORD062"/>
    <d v="2026-05-13T00:00:00"/>
    <s v="Pooja Deshmukh"/>
    <x v="2"/>
    <x v="0"/>
    <x v="14"/>
    <n v="5"/>
    <n v="3500"/>
    <n v="0.1"/>
    <x v="0"/>
    <x v="54"/>
    <n v="11340"/>
    <n v="4410"/>
    <n v="0.28000000000000003"/>
    <x v="5"/>
    <x v="5"/>
    <n v="2026"/>
  </r>
  <r>
    <s v="ORD063"/>
    <d v="2026-05-27T00:00:00"/>
    <s v="Riya Patil"/>
    <x v="3"/>
    <x v="0"/>
    <x v="14"/>
    <n v="3"/>
    <n v="3500"/>
    <n v="0.05"/>
    <x v="1"/>
    <x v="48"/>
    <n v="7182"/>
    <n v="2793"/>
    <n v="0.28000000000000003"/>
    <x v="5"/>
    <x v="5"/>
    <n v="2026"/>
  </r>
  <r>
    <s v="ORD064"/>
    <d v="2026-04-29T00:00:00"/>
    <s v="Meera Pawar"/>
    <x v="1"/>
    <x v="1"/>
    <x v="11"/>
    <n v="2"/>
    <n v="9000"/>
    <n v="0"/>
    <x v="2"/>
    <x v="37"/>
    <n v="12240"/>
    <n v="5760"/>
    <n v="0.32"/>
    <x v="11"/>
    <x v="11"/>
    <n v="2026"/>
  </r>
  <r>
    <s v="ORD065"/>
    <d v="2026-08-01T00:00:00"/>
    <s v="Amit Sharma"/>
    <x v="2"/>
    <x v="0"/>
    <x v="7"/>
    <n v="4"/>
    <n v="28000"/>
    <n v="0.1"/>
    <x v="2"/>
    <x v="12"/>
    <n v="72576"/>
    <n v="28224"/>
    <n v="0.28000000000000003"/>
    <x v="10"/>
    <x v="10"/>
    <n v="2026"/>
  </r>
  <r>
    <s v="ORD066"/>
    <d v="2026-01-04T00:00:00"/>
    <s v="Riya Kadam"/>
    <x v="3"/>
    <x v="1"/>
    <x v="5"/>
    <n v="4"/>
    <n v="5500"/>
    <n v="0.1"/>
    <x v="2"/>
    <x v="55"/>
    <n v="13464"/>
    <n v="6336"/>
    <n v="0.32"/>
    <x v="9"/>
    <x v="9"/>
    <n v="2026"/>
  </r>
  <r>
    <s v="ORD067"/>
    <d v="2026-04-23T00:00:00"/>
    <s v="Nikhil Joshi"/>
    <x v="2"/>
    <x v="1"/>
    <x v="9"/>
    <n v="4"/>
    <n v="24000"/>
    <n v="0"/>
    <x v="1"/>
    <x v="56"/>
    <n v="65280"/>
    <n v="30720"/>
    <n v="0.32"/>
    <x v="11"/>
    <x v="11"/>
    <n v="2026"/>
  </r>
  <r>
    <s v="ORD068"/>
    <d v="2026-08-28T00:00:00"/>
    <s v="Nikhil Chavan"/>
    <x v="0"/>
    <x v="0"/>
    <x v="12"/>
    <n v="5"/>
    <n v="22000"/>
    <n v="0"/>
    <x v="0"/>
    <x v="21"/>
    <n v="79200"/>
    <n v="30800"/>
    <n v="0.28000000000000003"/>
    <x v="10"/>
    <x v="10"/>
    <n v="2026"/>
  </r>
  <r>
    <s v="ORD069"/>
    <d v="2026-11-26T00:00:00"/>
    <s v="Priya Deshmukh"/>
    <x v="2"/>
    <x v="1"/>
    <x v="11"/>
    <n v="4"/>
    <n v="9000"/>
    <n v="0.05"/>
    <x v="3"/>
    <x v="57"/>
    <n v="23256"/>
    <n v="10944"/>
    <n v="0.32"/>
    <x v="0"/>
    <x v="0"/>
    <n v="2026"/>
  </r>
  <r>
    <s v="ORD070"/>
    <d v="2026-04-19T00:00:00"/>
    <s v="Vikram Pawar"/>
    <x v="1"/>
    <x v="1"/>
    <x v="5"/>
    <n v="3"/>
    <n v="5500"/>
    <n v="0.1"/>
    <x v="0"/>
    <x v="58"/>
    <n v="10098"/>
    <n v="4752"/>
    <n v="0.32"/>
    <x v="11"/>
    <x v="11"/>
    <n v="2026"/>
  </r>
  <r>
    <s v="ORD071"/>
    <d v="2026-08-29T00:00:00"/>
    <s v="Pooja Patil"/>
    <x v="0"/>
    <x v="0"/>
    <x v="12"/>
    <n v="1"/>
    <n v="22000"/>
    <n v="0.05"/>
    <x v="0"/>
    <x v="59"/>
    <n v="15048"/>
    <n v="5852"/>
    <n v="0.28000000000000003"/>
    <x v="10"/>
    <x v="10"/>
    <n v="2026"/>
  </r>
  <r>
    <s v="ORD072"/>
    <d v="2026-05-07T00:00:00"/>
    <s v="Pooja Jadhav"/>
    <x v="2"/>
    <x v="0"/>
    <x v="0"/>
    <n v="5"/>
    <n v="55000"/>
    <n v="0.05"/>
    <x v="0"/>
    <x v="60"/>
    <n v="188100"/>
    <n v="73150"/>
    <n v="0.28000000000000003"/>
    <x v="5"/>
    <x v="5"/>
    <n v="2026"/>
  </r>
  <r>
    <s v="ORD073"/>
    <d v="2026-10-16T00:00:00"/>
    <s v="Neha Chavan"/>
    <x v="0"/>
    <x v="0"/>
    <x v="4"/>
    <n v="3"/>
    <n v="6000"/>
    <n v="0.05"/>
    <x v="1"/>
    <x v="61"/>
    <n v="12312"/>
    <n v="4788"/>
    <n v="0.28000000000000003"/>
    <x v="1"/>
    <x v="1"/>
    <n v="2026"/>
  </r>
  <r>
    <s v="ORD074"/>
    <d v="2026-06-09T00:00:00"/>
    <s v="Amit Pawar"/>
    <x v="2"/>
    <x v="0"/>
    <x v="12"/>
    <n v="1"/>
    <n v="22000"/>
    <n v="0.05"/>
    <x v="1"/>
    <x v="59"/>
    <n v="15048"/>
    <n v="5852"/>
    <n v="0.28000000000000003"/>
    <x v="6"/>
    <x v="6"/>
    <n v="2026"/>
  </r>
  <r>
    <s v="ORD075"/>
    <d v="2026-02-08T00:00:00"/>
    <s v="Ananya Chavan"/>
    <x v="0"/>
    <x v="2"/>
    <x v="6"/>
    <n v="1"/>
    <n v="1800"/>
    <n v="0.15"/>
    <x v="0"/>
    <x v="13"/>
    <n v="948.6"/>
    <n v="581.4"/>
    <n v="0.38"/>
    <x v="3"/>
    <x v="3"/>
    <n v="2026"/>
  </r>
  <r>
    <s v="ORD076"/>
    <d v="2026-06-27T00:00:00"/>
    <s v="Arjun Joshi"/>
    <x v="0"/>
    <x v="2"/>
    <x v="3"/>
    <n v="3"/>
    <n v="3200"/>
    <n v="0"/>
    <x v="2"/>
    <x v="62"/>
    <n v="5952"/>
    <n v="3648"/>
    <n v="0.38"/>
    <x v="6"/>
    <x v="6"/>
    <n v="2026"/>
  </r>
  <r>
    <s v="ORD077"/>
    <d v="2026-09-08T00:00:00"/>
    <s v="Sahil Jadhav"/>
    <x v="2"/>
    <x v="0"/>
    <x v="4"/>
    <n v="3"/>
    <n v="6000"/>
    <n v="0.15"/>
    <x v="1"/>
    <x v="63"/>
    <n v="11016"/>
    <n v="4284"/>
    <n v="0.28000000000000003"/>
    <x v="8"/>
    <x v="8"/>
    <n v="2026"/>
  </r>
  <r>
    <s v="ORD078"/>
    <d v="2026-09-25T00:00:00"/>
    <s v="Kavya More"/>
    <x v="2"/>
    <x v="2"/>
    <x v="13"/>
    <n v="5"/>
    <n v="900"/>
    <n v="0.1"/>
    <x v="3"/>
    <x v="64"/>
    <n v="2511"/>
    <n v="1539"/>
    <n v="0.38"/>
    <x v="8"/>
    <x v="8"/>
    <n v="2026"/>
  </r>
  <r>
    <s v="ORD079"/>
    <d v="2026-06-15T00:00:00"/>
    <s v="Pooja More"/>
    <x v="2"/>
    <x v="0"/>
    <x v="0"/>
    <n v="3"/>
    <n v="55000"/>
    <n v="0.1"/>
    <x v="3"/>
    <x v="65"/>
    <n v="106920"/>
    <n v="41580"/>
    <n v="0.28000000000000003"/>
    <x v="6"/>
    <x v="6"/>
    <n v="2026"/>
  </r>
  <r>
    <s v="ORD080"/>
    <d v="2026-01-15T00:00:00"/>
    <s v="Aditya Joshi"/>
    <x v="1"/>
    <x v="1"/>
    <x v="5"/>
    <n v="2"/>
    <n v="5500"/>
    <n v="0.1"/>
    <x v="3"/>
    <x v="66"/>
    <n v="6732"/>
    <n v="3168"/>
    <n v="0.32"/>
    <x v="9"/>
    <x v="9"/>
    <n v="2026"/>
  </r>
  <r>
    <s v="ORD081"/>
    <d v="2026-05-24T00:00:00"/>
    <s v="Arjun Kulkarni"/>
    <x v="0"/>
    <x v="2"/>
    <x v="13"/>
    <n v="5"/>
    <n v="900"/>
    <n v="0"/>
    <x v="1"/>
    <x v="31"/>
    <n v="2790"/>
    <n v="1710"/>
    <n v="0.38"/>
    <x v="5"/>
    <x v="5"/>
    <n v="2026"/>
  </r>
  <r>
    <s v="ORD082"/>
    <d v="2026-07-28T00:00:00"/>
    <s v="Kavya More"/>
    <x v="2"/>
    <x v="1"/>
    <x v="8"/>
    <n v="2"/>
    <n v="1800"/>
    <n v="0.15"/>
    <x v="0"/>
    <x v="67"/>
    <n v="2080.8000000000002"/>
    <n v="979.2"/>
    <n v="0.32"/>
    <x v="7"/>
    <x v="7"/>
    <n v="2026"/>
  </r>
  <r>
    <s v="ORD083"/>
    <d v="2026-02-17T00:00:00"/>
    <s v="Pooja Deshmukh"/>
    <x v="1"/>
    <x v="1"/>
    <x v="11"/>
    <n v="4"/>
    <n v="9000"/>
    <n v="0.15"/>
    <x v="2"/>
    <x v="68"/>
    <n v="20808"/>
    <n v="9792"/>
    <n v="0.32"/>
    <x v="3"/>
    <x v="3"/>
    <n v="2026"/>
  </r>
  <r>
    <s v="ORD084"/>
    <d v="2026-10-11T00:00:00"/>
    <s v="Riya Joshi"/>
    <x v="1"/>
    <x v="2"/>
    <x v="13"/>
    <n v="4"/>
    <n v="900"/>
    <n v="0.15"/>
    <x v="2"/>
    <x v="67"/>
    <n v="1897.2"/>
    <n v="1162.8"/>
    <n v="0.38"/>
    <x v="1"/>
    <x v="1"/>
    <n v="2026"/>
  </r>
  <r>
    <s v="ORD085"/>
    <d v="2026-05-19T00:00:00"/>
    <s v="Aditya Joshi"/>
    <x v="0"/>
    <x v="1"/>
    <x v="5"/>
    <n v="2"/>
    <n v="5500"/>
    <n v="0"/>
    <x v="1"/>
    <x v="69"/>
    <n v="7480"/>
    <n v="3520"/>
    <n v="0.32"/>
    <x v="5"/>
    <x v="5"/>
    <n v="2026"/>
  </r>
  <r>
    <s v="ORD086"/>
    <d v="2026-04-09T00:00:00"/>
    <s v="Amit Kadam"/>
    <x v="1"/>
    <x v="0"/>
    <x v="4"/>
    <n v="3"/>
    <n v="6000"/>
    <n v="0.15"/>
    <x v="0"/>
    <x v="63"/>
    <n v="11016"/>
    <n v="4284"/>
    <n v="0.28000000000000003"/>
    <x v="11"/>
    <x v="11"/>
    <n v="2026"/>
  </r>
  <r>
    <s v="ORD087"/>
    <d v="2026-04-10T00:00:00"/>
    <s v="Ananya Sharma"/>
    <x v="3"/>
    <x v="1"/>
    <x v="11"/>
    <n v="3"/>
    <n v="9000"/>
    <n v="0.05"/>
    <x v="3"/>
    <x v="70"/>
    <n v="17442"/>
    <n v="8208"/>
    <n v="0.32"/>
    <x v="11"/>
    <x v="11"/>
    <n v="2026"/>
  </r>
  <r>
    <s v="ORD088"/>
    <d v="2026-01-24T00:00:00"/>
    <s v="Rohan More"/>
    <x v="0"/>
    <x v="0"/>
    <x v="12"/>
    <n v="3"/>
    <n v="22000"/>
    <n v="0.15"/>
    <x v="0"/>
    <x v="71"/>
    <n v="40392"/>
    <n v="15708"/>
    <n v="0.28000000000000003"/>
    <x v="9"/>
    <x v="9"/>
    <n v="2026"/>
  </r>
  <r>
    <s v="ORD089"/>
    <d v="2026-10-21T00:00:00"/>
    <s v="Karan Jadhav"/>
    <x v="0"/>
    <x v="1"/>
    <x v="9"/>
    <n v="4"/>
    <n v="24000"/>
    <n v="0.1"/>
    <x v="3"/>
    <x v="72"/>
    <n v="58752"/>
    <n v="27648"/>
    <n v="0.32"/>
    <x v="1"/>
    <x v="1"/>
    <n v="2026"/>
  </r>
  <r>
    <s v="ORD090"/>
    <d v="2026-09-02T00:00:00"/>
    <s v="Rahul Chavan"/>
    <x v="0"/>
    <x v="0"/>
    <x v="0"/>
    <n v="4"/>
    <n v="55000"/>
    <n v="0.1"/>
    <x v="1"/>
    <x v="34"/>
    <n v="142560"/>
    <n v="55440"/>
    <n v="0.28000000000000003"/>
    <x v="8"/>
    <x v="8"/>
    <n v="2026"/>
  </r>
  <r>
    <s v="ORD091"/>
    <d v="2026-03-18T00:00:00"/>
    <s v="Sneha Kadam"/>
    <x v="2"/>
    <x v="2"/>
    <x v="13"/>
    <n v="1"/>
    <n v="900"/>
    <n v="0.05"/>
    <x v="1"/>
    <x v="73"/>
    <n v="530.1"/>
    <n v="324.89999999999998"/>
    <n v="0.37999999999999989"/>
    <x v="2"/>
    <x v="2"/>
    <n v="2026"/>
  </r>
  <r>
    <s v="ORD092"/>
    <d v="2026-09-25T00:00:00"/>
    <s v="Amit Pawar"/>
    <x v="1"/>
    <x v="1"/>
    <x v="9"/>
    <n v="4"/>
    <n v="24000"/>
    <n v="0.05"/>
    <x v="0"/>
    <x v="74"/>
    <n v="62016"/>
    <n v="29184"/>
    <n v="0.32"/>
    <x v="8"/>
    <x v="8"/>
    <n v="2026"/>
  </r>
  <r>
    <s v="ORD093"/>
    <d v="2026-11-09T00:00:00"/>
    <s v="Aditya Deshmukh"/>
    <x v="0"/>
    <x v="2"/>
    <x v="10"/>
    <n v="2"/>
    <n v="2500"/>
    <n v="0.15"/>
    <x v="1"/>
    <x v="75"/>
    <n v="2635"/>
    <n v="1615"/>
    <n v="0.38"/>
    <x v="0"/>
    <x v="0"/>
    <n v="2026"/>
  </r>
  <r>
    <s v="ORD094"/>
    <d v="2026-05-03T00:00:00"/>
    <s v="Aarav Pawar"/>
    <x v="2"/>
    <x v="0"/>
    <x v="12"/>
    <n v="1"/>
    <n v="22000"/>
    <n v="0.05"/>
    <x v="2"/>
    <x v="59"/>
    <n v="15048"/>
    <n v="5852"/>
    <n v="0.28000000000000003"/>
    <x v="5"/>
    <x v="5"/>
    <n v="2026"/>
  </r>
  <r>
    <s v="ORD095"/>
    <d v="2026-05-30T00:00:00"/>
    <s v="Ananya More"/>
    <x v="0"/>
    <x v="0"/>
    <x v="7"/>
    <n v="3"/>
    <n v="28000"/>
    <n v="0.15"/>
    <x v="1"/>
    <x v="76"/>
    <n v="51408"/>
    <n v="19992"/>
    <n v="0.28000000000000003"/>
    <x v="5"/>
    <x v="5"/>
    <n v="2026"/>
  </r>
  <r>
    <s v="ORD096"/>
    <d v="2026-05-16T00:00:00"/>
    <s v="Sneha Kadam"/>
    <x v="3"/>
    <x v="2"/>
    <x v="2"/>
    <n v="2"/>
    <n v="2200"/>
    <n v="0.1"/>
    <x v="1"/>
    <x v="77"/>
    <n v="2455.1999999999998"/>
    <n v="1504.8"/>
    <n v="0.38"/>
    <x v="5"/>
    <x v="5"/>
    <n v="2026"/>
  </r>
  <r>
    <s v="ORD097"/>
    <d v="2026-05-17T00:00:00"/>
    <s v="Ananya Chavan"/>
    <x v="1"/>
    <x v="0"/>
    <x v="0"/>
    <n v="1"/>
    <n v="55000"/>
    <n v="0.05"/>
    <x v="2"/>
    <x v="78"/>
    <n v="37620"/>
    <n v="14630"/>
    <n v="0.28000000000000003"/>
    <x v="5"/>
    <x v="5"/>
    <n v="2026"/>
  </r>
  <r>
    <s v="ORD098"/>
    <d v="2026-03-05T00:00:00"/>
    <s v="Arjun Kadam"/>
    <x v="2"/>
    <x v="1"/>
    <x v="5"/>
    <n v="4"/>
    <n v="5500"/>
    <n v="0.05"/>
    <x v="2"/>
    <x v="59"/>
    <n v="14212"/>
    <n v="6688"/>
    <n v="0.32"/>
    <x v="2"/>
    <x v="2"/>
    <n v="2026"/>
  </r>
  <r>
    <s v="ORD099"/>
    <d v="2026-02-11T00:00:00"/>
    <s v="Karan Chavan"/>
    <x v="1"/>
    <x v="2"/>
    <x v="10"/>
    <n v="4"/>
    <n v="2500"/>
    <n v="0.15"/>
    <x v="0"/>
    <x v="79"/>
    <n v="5270"/>
    <n v="3230"/>
    <n v="0.38"/>
    <x v="3"/>
    <x v="3"/>
    <n v="2026"/>
  </r>
  <r>
    <s v="ORD100"/>
    <d v="2026-02-16T00:00:00"/>
    <s v="Vikram Chavan"/>
    <x v="0"/>
    <x v="0"/>
    <x v="12"/>
    <n v="5"/>
    <n v="22000"/>
    <n v="0"/>
    <x v="1"/>
    <x v="21"/>
    <n v="79200"/>
    <n v="30800"/>
    <n v="0.28000000000000003"/>
    <x v="3"/>
    <x v="3"/>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1497F-CAE6-4E6B-A996-99AF0C633DA5}"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10:E14" firstHeaderRow="1" firstDataRow="1" firstDataCol="1"/>
  <pivotFields count="17">
    <pivotField compact="0" outline="0" showAll="0"/>
    <pivotField compact="0" numFmtId="164" outline="0" showAll="0"/>
    <pivotField compact="0" outline="0" showAll="0"/>
    <pivotField compact="0" outline="0" showAll="0">
      <items count="5">
        <item x="1"/>
        <item x="0"/>
        <item x="3"/>
        <item x="2"/>
        <item t="default"/>
      </items>
    </pivotField>
    <pivotField axis="axisRow" compact="0" outline="0" showAll="0">
      <items count="4">
        <item x="2"/>
        <item x="0"/>
        <item x="1"/>
        <item t="default"/>
      </items>
    </pivotField>
    <pivotField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13">
        <item x="9"/>
        <item x="3"/>
        <item x="2"/>
        <item x="11"/>
        <item x="5"/>
        <item x="6"/>
        <item x="7"/>
        <item x="10"/>
        <item x="8"/>
        <item x="1"/>
        <item x="0"/>
        <item x="4"/>
        <item t="default"/>
      </items>
    </pivotField>
    <pivotField compact="0" outline="0" showAll="0"/>
  </pivotFields>
  <rowFields count="1">
    <field x="4"/>
  </rowFields>
  <rowItems count="4">
    <i>
      <x/>
    </i>
    <i>
      <x v="1"/>
    </i>
    <i>
      <x v="2"/>
    </i>
    <i t="grand">
      <x/>
    </i>
  </rowItems>
  <colItems count="1">
    <i/>
  </colItems>
  <dataFields count="1">
    <dataField name="Sum of Sales" fld="10" baseField="0" baseItem="0"/>
  </dataFields>
  <formats count="17">
    <format dxfId="16">
      <pivotArea field="4" type="button" dataOnly="0" labelOnly="1" outline="0" axis="axisRow"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 dxfId="12">
      <pivotArea dataOnly="0" outline="0" fieldPosition="0">
        <references count="1">
          <reference field="4" count="0"/>
        </references>
      </pivotArea>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outline="0" fieldPosition="0">
        <references count="1">
          <reference field="4"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outline="0"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CFE811-C100-4E23-A215-98EEAC09C4E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D3:E7" firstHeaderRow="1" firstDataRow="1" firstDataCol="1"/>
  <pivotFields count="17">
    <pivotField compact="0" outline="0" showAll="0"/>
    <pivotField compact="0" numFmtId="164" outline="0" showAll="0"/>
    <pivotField compact="0" outline="0" showAll="0"/>
    <pivotField compact="0" outline="0" showAll="0">
      <items count="5">
        <item x="1"/>
        <item x="0"/>
        <item x="3"/>
        <item x="2"/>
        <item t="default"/>
      </items>
    </pivotField>
    <pivotField axis="axisRow" compact="0" outline="0" showAll="0">
      <items count="4">
        <item x="2"/>
        <item x="0"/>
        <item x="1"/>
        <item t="default"/>
      </items>
    </pivotField>
    <pivotField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13">
        <item x="9"/>
        <item x="3"/>
        <item x="2"/>
        <item x="11"/>
        <item x="5"/>
        <item x="6"/>
        <item x="7"/>
        <item x="10"/>
        <item x="8"/>
        <item x="1"/>
        <item x="0"/>
        <item x="4"/>
        <item t="default"/>
      </items>
    </pivotField>
    <pivotField compact="0" outline="0" showAll="0"/>
  </pivotFields>
  <rowFields count="1">
    <field x="4"/>
  </rowFields>
  <rowItems count="4">
    <i>
      <x/>
    </i>
    <i>
      <x v="1"/>
    </i>
    <i>
      <x v="2"/>
    </i>
    <i t="grand">
      <x/>
    </i>
  </rowItems>
  <colItems count="1">
    <i/>
  </colItems>
  <dataFields count="1">
    <dataField name="Sum of Profit" fld="12" baseField="0" baseItem="0"/>
  </dataFields>
  <formats count="16">
    <format dxfId="32">
      <pivotArea field="4" type="button" dataOnly="0" labelOnly="1" outline="0" axis="axisRow" fieldPosition="0"/>
    </format>
    <format dxfId="31">
      <pivotArea dataOnly="0" labelOnly="1" outline="0" axis="axisValues" fieldPosition="0"/>
    </format>
    <format dxfId="30">
      <pivotArea dataOnly="0" grandRow="1" outline="0" fieldPosition="0"/>
    </format>
    <format dxfId="29">
      <pivotArea dataOnly="0" outline="0" fieldPosition="0">
        <references count="1">
          <reference field="4" count="0"/>
        </references>
      </pivotArea>
    </format>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outline="0" fieldPosition="0">
        <references count="1">
          <reference field="4" count="0"/>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outline="0" fieldPosition="0">
        <references count="1">
          <reference field="4" count="0"/>
        </references>
      </pivotArea>
    </format>
    <format dxfId="18">
      <pivotArea dataOnly="0" labelOnly="1" grandRow="1" outline="0" fieldPosition="0"/>
    </format>
    <format dxfId="17">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97ED8-0E91-4C5A-BD3D-5F60953DE01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16" firstHeaderRow="1" firstDataRow="1" firstDataCol="1"/>
  <pivotFields count="17">
    <pivotField compact="0" outline="0" showAll="0"/>
    <pivotField compact="0" numFmtId="164" outline="0" showAll="0"/>
    <pivotField compact="0" outline="0" showAll="0"/>
    <pivotField compact="0" outline="0" showAll="0">
      <items count="5">
        <item x="1"/>
        <item x="0"/>
        <item x="3"/>
        <item x="2"/>
        <item t="default"/>
      </items>
    </pivotField>
    <pivotField compact="0" outline="0" showAll="0">
      <items count="4">
        <item x="2"/>
        <item x="0"/>
        <item x="1"/>
        <item t="default"/>
      </items>
    </pivotField>
    <pivotField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axis="axisRow" compact="0" outline="0" showAll="0">
      <items count="13">
        <item x="9"/>
        <item x="3"/>
        <item x="2"/>
        <item x="11"/>
        <item x="5"/>
        <item x="6"/>
        <item x="7"/>
        <item x="10"/>
        <item x="8"/>
        <item x="1"/>
        <item x="0"/>
        <item x="4"/>
        <item t="default"/>
      </items>
    </pivotField>
    <pivotField compact="0" outline="0" showAll="0">
      <items count="13">
        <item x="9"/>
        <item x="3"/>
        <item x="2"/>
        <item x="11"/>
        <item x="5"/>
        <item x="6"/>
        <item x="7"/>
        <item x="10"/>
        <item x="8"/>
        <item x="1"/>
        <item x="0"/>
        <item x="4"/>
        <item t="default"/>
      </items>
    </pivotField>
    <pivotField compact="0" outline="0"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10" baseField="0" baseItem="0"/>
  </dataFields>
  <formats count="17">
    <format dxfId="49">
      <pivotArea type="all" dataOnly="0" outline="0" fieldPosition="0"/>
    </format>
    <format dxfId="48">
      <pivotArea field="15" type="button" dataOnly="0" labelOnly="1" outline="0"/>
    </format>
    <format dxfId="47">
      <pivotArea dataOnly="0" labelOnly="1" grandRow="1" outline="0" fieldPosition="0"/>
    </format>
    <format dxfId="46">
      <pivotArea dataOnly="0" labelOnly="1" outline="0" axis="axisValues" fieldPosition="0"/>
    </format>
    <format dxfId="45">
      <pivotArea field="15" type="button" dataOnly="0" labelOnly="1" outline="0"/>
    </format>
    <format dxfId="44">
      <pivotArea dataOnly="0" labelOnly="1" outline="0" axis="axisValues" fieldPosition="0"/>
    </format>
    <format dxfId="43">
      <pivotArea grandRow="1" outline="0" collapsedLevelsAreSubtotals="1" fieldPosition="0"/>
    </format>
    <format dxfId="42">
      <pivotArea dataOnly="0" labelOnly="1" grandRow="1" outline="0" fieldPosition="0"/>
    </format>
    <format dxfId="41">
      <pivotArea field="15" type="button" dataOnly="0" labelOnly="1" outline="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5" type="button" dataOnly="0" labelOnly="1" outline="0"/>
    </format>
    <format dxfId="36">
      <pivotArea dataOnly="0" labelOnly="1" grandRow="1" outline="0" fieldPosition="0"/>
    </format>
    <format dxfId="35">
      <pivotArea dataOnly="0" labelOnly="1" outline="0" axis="axisValues" fieldPosition="0"/>
    </format>
    <format dxfId="34">
      <pivotArea dataOnly="0" grandRow="1" outline="0" axis="axisRow" fieldPosition="0"/>
    </format>
    <format dxfId="33">
      <pivotArea field="14" type="button" dataOnly="0" labelOnly="1" outline="0" axis="axisRow" fieldPosition="0"/>
    </format>
  </format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7D129-FD9E-43FE-9394-D7243E6C7CB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7:E22" firstHeaderRow="1" firstDataRow="1" firstDataCol="1"/>
  <pivotFields count="17">
    <pivotField compact="0" outline="0" showAll="0"/>
    <pivotField compact="0" numFmtId="164" outline="0" showAll="0"/>
    <pivotField compact="0" outline="0" showAll="0"/>
    <pivotField axis="axisRow" compact="0" outline="0" showAll="0">
      <items count="5">
        <item x="1"/>
        <item x="0"/>
        <item x="3"/>
        <item x="2"/>
        <item t="default"/>
      </items>
    </pivotField>
    <pivotField compact="0" outline="0" showAll="0">
      <items count="4">
        <item x="2"/>
        <item x="0"/>
        <item x="1"/>
        <item t="default"/>
      </items>
    </pivotField>
    <pivotField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13">
        <item x="9"/>
        <item x="3"/>
        <item x="2"/>
        <item x="11"/>
        <item x="5"/>
        <item x="6"/>
        <item x="7"/>
        <item x="10"/>
        <item x="8"/>
        <item x="1"/>
        <item x="0"/>
        <item x="4"/>
        <item t="default"/>
      </items>
    </pivotField>
    <pivotField compact="0" outline="0" showAll="0"/>
  </pivotFields>
  <rowFields count="1">
    <field x="3"/>
  </rowFields>
  <rowItems count="5">
    <i>
      <x/>
    </i>
    <i>
      <x v="1"/>
    </i>
    <i>
      <x v="2"/>
    </i>
    <i>
      <x v="3"/>
    </i>
    <i t="grand">
      <x/>
    </i>
  </rowItems>
  <colItems count="1">
    <i/>
  </colItems>
  <dataFields count="1">
    <dataField name="Sum of Sales" fld="10" baseField="0" baseItem="0"/>
  </dataFields>
  <formats count="15">
    <format dxfId="64">
      <pivotArea field="9" type="button" dataOnly="0" labelOnly="1" outline="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9" type="button" dataOnly="0" labelOnly="1" outline="0"/>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9" type="button" dataOnly="0" labelOnly="1" outline="0"/>
    </format>
    <format dxfId="52">
      <pivotArea dataOnly="0" labelOnly="1" grandRow="1" outline="0" fieldPosition="0"/>
    </format>
    <format dxfId="51">
      <pivotArea dataOnly="0" labelOnly="1" outline="0" axis="axisValues" fieldPosition="0"/>
    </format>
    <format dxfId="50">
      <pivotArea field="3" type="button" dataOnly="0" labelOnly="1" outline="0" axis="axisRow" fieldPosition="0"/>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3" count="1" selected="0">
            <x v="0"/>
          </reference>
        </references>
      </pivotArea>
    </chartFormat>
    <chartFormat chart="4" format="13">
      <pivotArea type="data" outline="0" fieldPosition="0">
        <references count="2">
          <reference field="4294967294" count="1" selected="0">
            <x v="0"/>
          </reference>
          <reference field="3" count="1" selected="0">
            <x v="1"/>
          </reference>
        </references>
      </pivotArea>
    </chartFormat>
    <chartFormat chart="4" format="14">
      <pivotArea type="data" outline="0" fieldPosition="0">
        <references count="2">
          <reference field="4294967294" count="1" selected="0">
            <x v="0"/>
          </reference>
          <reference field="3" count="1" selected="0">
            <x v="2"/>
          </reference>
        </references>
      </pivotArea>
    </chartFormat>
    <chartFormat chart="4"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D688E5-6D02-4468-9846-6A8B420252F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0:H15" firstHeaderRow="1" firstDataRow="1" firstDataCol="1"/>
  <pivotFields count="17">
    <pivotField compact="0" outline="0" showAll="0"/>
    <pivotField compact="0" numFmtId="164" outline="0" showAll="0"/>
    <pivotField compact="0" outline="0" showAll="0"/>
    <pivotField axis="axisRow" compact="0" outline="0" showAll="0">
      <items count="5">
        <item x="1"/>
        <item x="0"/>
        <item x="3"/>
        <item x="2"/>
        <item t="default"/>
      </items>
    </pivotField>
    <pivotField compact="0" outline="0" showAll="0">
      <items count="4">
        <item x="2"/>
        <item x="0"/>
        <item x="1"/>
        <item t="default"/>
      </items>
    </pivotField>
    <pivotField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dataField="1" compact="0" outline="0" showAll="0">
      <items count="81">
        <item x="73"/>
        <item x="13"/>
        <item x="52"/>
        <item x="33"/>
        <item x="17"/>
        <item x="24"/>
        <item x="67"/>
        <item x="18"/>
        <item x="9"/>
        <item x="35"/>
        <item x="77"/>
        <item x="64"/>
        <item x="45"/>
        <item x="75"/>
        <item x="31"/>
        <item x="19"/>
        <item x="10"/>
        <item x="5"/>
        <item x="22"/>
        <item x="36"/>
        <item x="11"/>
        <item x="44"/>
        <item x="50"/>
        <item x="1"/>
        <item x="8"/>
        <item x="53"/>
        <item x="29"/>
        <item x="2"/>
        <item x="79"/>
        <item x="15"/>
        <item x="23"/>
        <item x="3"/>
        <item x="62"/>
        <item x="66"/>
        <item x="48"/>
        <item x="7"/>
        <item x="39"/>
        <item x="69"/>
        <item x="41"/>
        <item x="38"/>
        <item x="30"/>
        <item x="58"/>
        <item x="43"/>
        <item x="63"/>
        <item x="54"/>
        <item x="28"/>
        <item x="46"/>
        <item x="61"/>
        <item x="37"/>
        <item x="55"/>
        <item x="4"/>
        <item x="59"/>
        <item x="27"/>
        <item x="16"/>
        <item x="70"/>
        <item x="32"/>
        <item x="51"/>
        <item x="26"/>
        <item x="68"/>
        <item x="57"/>
        <item x="49"/>
        <item x="14"/>
        <item x="78"/>
        <item x="71"/>
        <item x="76"/>
        <item x="40"/>
        <item x="25"/>
        <item x="72"/>
        <item x="74"/>
        <item x="47"/>
        <item x="56"/>
        <item x="12"/>
        <item x="6"/>
        <item x="42"/>
        <item x="21"/>
        <item x="65"/>
        <item x="0"/>
        <item x="20"/>
        <item x="34"/>
        <item x="60"/>
        <item t="default"/>
      </items>
    </pivotField>
    <pivotField compact="0" outline="0" showAll="0"/>
    <pivotField compact="0" outline="0" showAll="0"/>
    <pivotField compact="0" outline="0" showAll="0"/>
    <pivotField compact="0" outline="0" showAll="0"/>
    <pivotField compact="0" outline="0" showAll="0">
      <items count="13">
        <item x="9"/>
        <item x="3"/>
        <item x="2"/>
        <item x="11"/>
        <item x="5"/>
        <item x="6"/>
        <item x="7"/>
        <item x="10"/>
        <item x="8"/>
        <item x="1"/>
        <item x="0"/>
        <item x="4"/>
        <item t="default"/>
      </items>
    </pivotField>
    <pivotField compact="0" outline="0" showAll="0"/>
  </pivotFields>
  <rowFields count="1">
    <field x="3"/>
  </rowFields>
  <rowItems count="5">
    <i>
      <x/>
    </i>
    <i>
      <x v="1"/>
    </i>
    <i>
      <x v="2"/>
    </i>
    <i>
      <x v="3"/>
    </i>
    <i t="grand">
      <x/>
    </i>
  </rowItems>
  <colItems count="1">
    <i/>
  </colItems>
  <dataFields count="1">
    <dataField name="Sum of Sales" fld="10" baseField="0" baseItem="0"/>
  </dataFields>
  <formats count="18">
    <format dxfId="82">
      <pivotArea field="5" type="button" dataOnly="0" labelOnly="1" outline="0"/>
    </format>
    <format dxfId="81">
      <pivotArea dataOnly="0" labelOnly="1" outline="0" axis="axisValues" fieldPosition="0"/>
    </format>
    <format dxfId="80">
      <pivotArea dataOnly="0" grandRow="1" outline="0" axis="axisRow" fieldPosition="0"/>
    </format>
    <format dxfId="79">
      <pivotArea type="all" dataOnly="0" outline="0" fieldPosition="0"/>
    </format>
    <format dxfId="78">
      <pivotArea outline="0" collapsedLevelsAreSubtotals="1" fieldPosition="0"/>
    </format>
    <format dxfId="77">
      <pivotArea field="5" type="button" dataOnly="0" labelOnly="1" outline="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5" type="button" dataOnly="0" labelOnly="1" outline="0"/>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5" type="button" dataOnly="0" labelOnly="1" outline="0"/>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252C0D-AFD8-4B12-8B6D-38B0EB64F338}"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G3" firstHeaderRow="0" firstDataRow="0" firstDataCol="0"/>
  <pivotFields count="17">
    <pivotField compact="0" outline="0" showAll="0"/>
    <pivotField compact="0" numFmtId="164" outline="0" showAll="0"/>
    <pivotField compact="0" outline="0" showAll="0"/>
    <pivotField compact="0" outline="0" showAll="0">
      <items count="5">
        <item x="1"/>
        <item x="0"/>
        <item x="3"/>
        <item x="2"/>
        <item t="default"/>
      </items>
    </pivotField>
    <pivotField compact="0" outline="0" showAll="0">
      <items count="4">
        <item x="2"/>
        <item x="0"/>
        <item x="1"/>
        <item t="default"/>
      </items>
    </pivotField>
    <pivotField axis="axisRow" compact="0" outline="0" showAll="0">
      <items count="16">
        <item x="5"/>
        <item x="8"/>
        <item x="2"/>
        <item x="14"/>
        <item x="10"/>
        <item x="6"/>
        <item x="0"/>
        <item x="1"/>
        <item x="4"/>
        <item x="7"/>
        <item x="3"/>
        <item x="9"/>
        <item x="11"/>
        <item x="12"/>
        <item x="13"/>
        <item t="default"/>
      </items>
    </pivotField>
    <pivotField compact="0" outline="0" showAll="0"/>
    <pivotField compact="0" outline="0" showAll="0"/>
    <pivotField compact="0" outline="0" showAll="0"/>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13">
        <item x="9"/>
        <item x="3"/>
        <item x="2"/>
        <item x="11"/>
        <item x="5"/>
        <item x="6"/>
        <item x="7"/>
        <item x="10"/>
        <item x="8"/>
        <item x="1"/>
        <item x="0"/>
        <item x="4"/>
        <item t="default"/>
      </items>
    </pivotField>
    <pivotField compact="0" outline="0"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Sales" fld="10" baseField="0" baseItem="0"/>
  </dataFields>
  <formats count="14">
    <format dxfId="96">
      <pivotArea field="3" type="button" dataOnly="0" labelOnly="1" outline="0"/>
    </format>
    <format dxfId="95">
      <pivotArea dataOnly="0" labelOnly="1" outline="0" axis="axisValues" fieldPosition="0"/>
    </format>
    <format dxfId="94">
      <pivotArea grandRow="1" outline="0" collapsedLevelsAreSubtotals="1" fieldPosition="0"/>
    </format>
    <format dxfId="93">
      <pivotArea dataOnly="0" labelOnly="1" grandRow="1" outline="0" fieldPosition="0"/>
    </format>
    <format dxfId="92">
      <pivotArea type="all" dataOnly="0" outline="0" fieldPosition="0"/>
    </format>
    <format dxfId="91">
      <pivotArea outline="0" collapsedLevelsAreSubtotals="1" fieldPosition="0"/>
    </format>
    <format dxfId="90">
      <pivotArea field="3" type="button" dataOnly="0" labelOnly="1" outline="0"/>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3" type="button" dataOnly="0" labelOnly="1" outline="0"/>
    </format>
    <format dxfId="84">
      <pivotArea dataOnly="0" labelOnly="1" grandRow="1" outline="0" fieldPosition="0"/>
    </format>
    <format dxfId="83">
      <pivotArea dataOnly="0" labelOnly="1" outline="0" axis="axisValues" fieldPosition="0"/>
    </format>
  </formats>
  <chartFormats count="2">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416C3E-E90B-48CF-8CFD-914720BB4ABC}" sourceName="Region">
  <pivotTables>
    <pivotTable tabId="6" name="PivotTable1"/>
    <pivotTable tabId="6" name="PivotTable2"/>
    <pivotTable tabId="6" name="PivotTable3"/>
    <pivotTable tabId="6" name="PivotTable4"/>
    <pivotTable tabId="6" name="PivotTable6"/>
    <pivotTable tabId="6" name="PivotTable7"/>
  </pivotTables>
  <data>
    <tabular pivotCacheId="86499272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721783-8C96-4D2B-B32E-9936852000D2}" sourceName="Category">
  <pivotTables>
    <pivotTable tabId="6" name="PivotTable1"/>
    <pivotTable tabId="6" name="PivotTable2"/>
    <pivotTable tabId="6" name="PivotTable3"/>
    <pivotTable tabId="6" name="PivotTable4"/>
    <pivotTable tabId="6" name="PivotTable6"/>
    <pivotTable tabId="6" name="PivotTable7"/>
  </pivotTables>
  <data>
    <tabular pivotCacheId="86499272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23483C4-A690-471E-9A24-DCD4E61ADB69}" sourceName="Product">
  <pivotTables>
    <pivotTable tabId="6" name="PivotTable1"/>
    <pivotTable tabId="6" name="PivotTable2"/>
    <pivotTable tabId="6" name="PivotTable3"/>
    <pivotTable tabId="6" name="PivotTable4"/>
    <pivotTable tabId="6" name="PivotTable6"/>
    <pivotTable tabId="6" name="PivotTable7"/>
  </pivotTables>
  <data>
    <tabular pivotCacheId="864992724">
      <items count="15">
        <i x="5" s="1"/>
        <i x="8" s="1"/>
        <i x="2" s="1"/>
        <i x="14" s="1"/>
        <i x="10" s="1"/>
        <i x="6" s="1"/>
        <i x="0" s="1"/>
        <i x="1" s="1"/>
        <i x="4" s="1"/>
        <i x="7" s="1"/>
        <i x="3" s="1"/>
        <i x="9" s="1"/>
        <i x="11" s="1"/>
        <i x="12"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60FE57D-2467-4DBD-ABE0-A1AAEE891EE3}" sourceName="Payment_Mode">
  <pivotTables>
    <pivotTable tabId="6" name="PivotTable1"/>
    <pivotTable tabId="6" name="PivotTable2"/>
    <pivotTable tabId="6" name="PivotTable3"/>
    <pivotTable tabId="6" name="PivotTable4"/>
    <pivotTable tabId="6" name="PivotTable6"/>
    <pivotTable tabId="6" name="PivotTable7"/>
  </pivotTables>
  <data>
    <tabular pivotCacheId="864992724">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8A063F8-DD4C-4762-8C49-682243552384}" sourceName="Month_Name">
  <pivotTables>
    <pivotTable tabId="6" name="PivotTable6"/>
    <pivotTable tabId="6" name="PivotTable1"/>
    <pivotTable tabId="6" name="PivotTable2"/>
    <pivotTable tabId="6" name="PivotTable3"/>
    <pivotTable tabId="6" name="PivotTable4"/>
    <pivotTable tabId="6" name="PivotTable7"/>
  </pivotTables>
  <data>
    <tabular pivotCacheId="864992724">
      <items count="12">
        <i x="9" s="1"/>
        <i x="3" s="1"/>
        <i x="2" s="1"/>
        <i x="11" s="1"/>
        <i x="5" s="1"/>
        <i x="6" s="1"/>
        <i x="7" s="1"/>
        <i x="10" s="1"/>
        <i x="8"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3AB295-DBB5-40AC-BE17-C7D0B119FD92}" cache="Slicer_Region" caption="Region" style="SlicerStyleDark1" rowHeight="234950"/>
  <slicer name="Category" xr10:uid="{361DB058-D96C-454F-B03D-9F0BEB6F0200}" cache="Slicer_Category" caption="Category" style="SlicerStyleDark1" rowHeight="234950"/>
  <slicer name="Product" xr10:uid="{A3004418-0E6F-41C3-B079-C023C0E096C4}" cache="Slicer_Product" caption="Product" style="SlicerStyleDark1" rowHeight="234950"/>
  <slicer name="Payment_Mode" xr10:uid="{5D2DEFDA-0436-4992-A028-E13B38A7B20D}" cache="Slicer_Payment_Mode" caption="Payment_Mode" style="SlicerStyleDark1" rowHeight="234950"/>
  <slicer name="Month_Name" xr10:uid="{F2916F4B-1E51-49E1-A1C2-FE5101F09A60}" cache="Slicer_Month_Name" caption="Month_Name" startItem="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05D64FA-4CE9-4607-A7E8-5582A36EBD9F}" cache="Slicer_Region" caption="Region" style="SlicerStyleDark1" rowHeight="234950"/>
  <slicer name="Category 1" xr10:uid="{D7ABF426-9C89-49A0-AAD2-741ED4CB89BD}" cache="Slicer_Category" caption="Category" style="SlicerStyleDark1" rowHeight="234950"/>
  <slicer name="Payment_Mode 1" xr10:uid="{B425F27C-5C0F-46D9-BF37-FA421C091230}" cache="Slicer_Payment_Mode" caption="Payment_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ED526-48B7-4357-B735-0809E9798BE8}" name="Table1" displayName="Table1" ref="A1:Q101" totalsRowShown="0" headerRowDxfId="105" headerRowBorderDxfId="104" tableBorderDxfId="103">
  <autoFilter ref="A1:Q101" xr:uid="{00000000-0009-0000-0000-000000000000}"/>
  <tableColumns count="17">
    <tableColumn id="1" xr3:uid="{EC296158-2F5A-4617-B43B-779D7B6FD727}" name="Order_ID"/>
    <tableColumn id="2" xr3:uid="{DD332D43-5689-436D-A76C-0ED2D174F33E}" name="Order_Date" dataDxfId="102"/>
    <tableColumn id="3" xr3:uid="{21CBCAEB-496E-4147-A671-FCBB0421328A}" name="Customer_Name"/>
    <tableColumn id="4" xr3:uid="{CBCB0FD3-B125-4D5F-A2E2-8842C36B7121}" name="Region"/>
    <tableColumn id="5" xr3:uid="{865A0DCA-6C53-4146-9317-C9B755E77142}" name="Category"/>
    <tableColumn id="6" xr3:uid="{5B4DA214-BD91-41F1-879C-DBAAA5F3C78B}" name="Product"/>
    <tableColumn id="7" xr3:uid="{7BD7059E-9C4B-474F-A566-98B376448A1A}" name="Quantity"/>
    <tableColumn id="8" xr3:uid="{FB246001-7A93-45DA-9BA8-12396C0F7A64}" name="Unit_Price"/>
    <tableColumn id="9" xr3:uid="{19F7C5CD-C476-4FC4-9B76-CFB88523A018}" name="Discount"/>
    <tableColumn id="10" xr3:uid="{7D26699B-ECC6-4F9C-8E50-9A9404DDF0ED}" name="Payment_Mode"/>
    <tableColumn id="11" xr3:uid="{AB0EDFB8-FC68-4E11-9679-B53ED395A491}" name="Sales"/>
    <tableColumn id="12" xr3:uid="{360C924D-7776-47E8-A288-1D3B02A89E1F}" name="Cost"/>
    <tableColumn id="13" xr3:uid="{CC7450F1-628F-4431-B0AA-BF84BB9640D0}" name="Profit"/>
    <tableColumn id="14" xr3:uid="{DF0C819A-2159-4A06-8A0A-DB4527631656}" name="Profit_%"/>
    <tableColumn id="15" xr3:uid="{288CD586-E36A-4EAC-B3D5-1774133D027C}" name="Month"/>
    <tableColumn id="16" xr3:uid="{73E0F68F-22DA-465D-BF9E-C7E705D881D4}" name="Month_Name"/>
    <tableColumn id="17" xr3:uid="{42BE2301-FE6D-4C9A-8A0D-207FA6E9841D}" name="Yea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202D2-A739-49B7-907F-B3B4AC2A8E3C}" name="Table2" displayName="Table2" ref="A1:Q101" totalsRowShown="0" headerRowDxfId="101" headerRowBorderDxfId="100" tableBorderDxfId="99">
  <autoFilter ref="A1:Q101" xr:uid="{00000000-0009-0000-0000-000001000000}"/>
  <tableColumns count="17">
    <tableColumn id="1" xr3:uid="{1DD22193-314C-46A3-AB10-6B93A5E917D8}" name="Order_ID"/>
    <tableColumn id="2" xr3:uid="{46053529-BD8B-4431-871E-A9ABC9C2B254}" name="Order_Date" dataDxfId="98"/>
    <tableColumn id="3" xr3:uid="{26B126D1-1DA1-493E-8643-5D9AFBE37803}" name="Customer_Name"/>
    <tableColumn id="4" xr3:uid="{F475C393-94A1-4F23-8484-E53F57EA9099}" name="Region"/>
    <tableColumn id="5" xr3:uid="{5BBCF9F0-885E-4251-A342-02B5419395C3}" name="Category"/>
    <tableColumn id="6" xr3:uid="{4019471B-70B8-4354-B0FF-6469BE1F56C7}" name="Product"/>
    <tableColumn id="7" xr3:uid="{1D7FA506-8DD5-4FA9-9F0E-F8C2BA7E0739}" name="Quantity"/>
    <tableColumn id="8" xr3:uid="{DFB885F7-C7AD-4699-AA6A-D8A589D6F798}" name="Unit_Price"/>
    <tableColumn id="9" xr3:uid="{D3B7DE97-1BEF-4D95-9D7B-4CFF465D9DAA}" name="Discount"/>
    <tableColumn id="10" xr3:uid="{AFD2BE1C-5390-4FDC-8699-D6C3DF49A78E}" name="Payment_Mode"/>
    <tableColumn id="11" xr3:uid="{57D2E9C5-4CDF-4343-9D88-B31B9E6F47C7}" name="Sales"/>
    <tableColumn id="12" xr3:uid="{72CD275C-0869-4DA0-BD34-866C9CF12B9B}" name="Cost"/>
    <tableColumn id="13" xr3:uid="{8152DBE3-7A08-4831-AE60-61ABEBBEFC0F}" name="Profit"/>
    <tableColumn id="14" xr3:uid="{F9C7BC9A-A982-45E7-947B-0969138F3699}" name="Profit_%"/>
    <tableColumn id="15" xr3:uid="{33A50FA8-FD1A-4101-BB61-BC42AC624F8D}" name="Month"/>
    <tableColumn id="16" xr3:uid="{0D46600C-2435-4503-96B4-174541E045DE}" name="Month_Name"/>
    <tableColumn id="17" xr3:uid="{C189B185-7F03-4947-90CB-BB967336084F}" name="Yea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56831F-9B10-4FA8-83E0-7353ECFE0756}" name="Table3" displayName="Table3" ref="A3:Q30" totalsRowShown="0">
  <autoFilter ref="A3:Q30" xr:uid="{DE56831F-9B10-4FA8-83E0-7353ECFE0756}"/>
  <tableColumns count="17">
    <tableColumn id="1" xr3:uid="{370A7A84-52A3-4C87-8FD9-D8B97B5B149B}" name="Order_ID"/>
    <tableColumn id="2" xr3:uid="{FAAD904A-822E-4C49-8B8F-8DA3A3EE73D3}" name="Order_Date" dataDxfId="97"/>
    <tableColumn id="3" xr3:uid="{212E180C-F0AA-434A-B1AB-6C3FFCF92699}" name="Customer_Name"/>
    <tableColumn id="4" xr3:uid="{4F40D43E-0C85-4A40-9618-4746B9388792}" name="Region"/>
    <tableColumn id="5" xr3:uid="{90942695-D99F-4A89-A0C9-AE9F933FA83B}" name="Category"/>
    <tableColumn id="6" xr3:uid="{E32AA863-F56C-4267-92DB-9F617B555A37}" name="Product"/>
    <tableColumn id="7" xr3:uid="{5D74181B-D708-4D43-824B-0BA8BC27BE12}" name="Quantity"/>
    <tableColumn id="8" xr3:uid="{1A407B6D-13CC-434B-B8F6-A29237B876E3}" name="Unit_Price"/>
    <tableColumn id="9" xr3:uid="{4ECDE303-1996-41AB-93C7-C7628DDE50B7}" name="Discount"/>
    <tableColumn id="10" xr3:uid="{7A3931E2-B076-4CDC-9EB2-A60DEA578E89}" name="Payment_Mode"/>
    <tableColumn id="11" xr3:uid="{E96233A1-E611-4C37-8304-D229FFF874EF}" name="Sales"/>
    <tableColumn id="12" xr3:uid="{EF1987B8-2DD4-44A5-ACF8-541E646149E3}" name="Cost"/>
    <tableColumn id="13" xr3:uid="{5D027BEC-4E7F-4EAA-BF5A-ABD0359E8063}" name="Profit"/>
    <tableColumn id="14" xr3:uid="{2187F813-0A56-41A8-BECB-3C21AFFF9E6F}" name="Profit_%"/>
    <tableColumn id="15" xr3:uid="{987FB100-86CC-4350-BA47-9C7B13668EEE}" name="Month"/>
    <tableColumn id="16" xr3:uid="{51819E7C-E9B7-432A-A60B-023C278B0E53}" name="Month_Name"/>
    <tableColumn id="17" xr3:uid="{CDB34FFC-6C36-4E9A-A23F-BA2E2DA99D24}"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C1" workbookViewId="0">
      <pane ySplit="1" topLeftCell="A69" activePane="bottomLeft" state="frozen"/>
      <selection pane="bottomLeft" activeCell="E92" sqref="E92"/>
    </sheetView>
  </sheetViews>
  <sheetFormatPr defaultRowHeight="14.4" x14ac:dyDescent="0.3"/>
  <cols>
    <col min="1" max="1" width="12" customWidth="1"/>
    <col min="2" max="2" width="21" customWidth="1"/>
    <col min="3" max="3" width="17" customWidth="1"/>
    <col min="4" max="4" width="12" customWidth="1"/>
    <col min="5" max="5" width="13" customWidth="1"/>
    <col min="6" max="6" width="14" customWidth="1"/>
    <col min="7" max="9" width="12" customWidth="1"/>
    <col min="10" max="10" width="16.44140625" customWidth="1"/>
    <col min="11" max="13" width="12" customWidth="1"/>
    <col min="14" max="14" width="21" customWidth="1"/>
    <col min="15" max="15" width="12" customWidth="1"/>
    <col min="16" max="16" width="14.6640625" customWidth="1"/>
    <col min="17" max="17" width="12" customWidth="1"/>
  </cols>
  <sheetData>
    <row r="1" spans="1:1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
      <c r="A2" t="s">
        <v>17</v>
      </c>
      <c r="B2" s="1">
        <v>46350</v>
      </c>
      <c r="C2" t="s">
        <v>18</v>
      </c>
      <c r="D2" t="s">
        <v>19</v>
      </c>
      <c r="E2" t="s">
        <v>20</v>
      </c>
      <c r="F2" t="s">
        <v>21</v>
      </c>
      <c r="G2">
        <v>3</v>
      </c>
      <c r="H2">
        <v>55000</v>
      </c>
      <c r="I2">
        <v>0.05</v>
      </c>
      <c r="J2" t="s">
        <v>22</v>
      </c>
      <c r="K2">
        <v>156750</v>
      </c>
      <c r="L2">
        <v>112860</v>
      </c>
      <c r="M2">
        <v>43890</v>
      </c>
      <c r="N2">
        <v>0.28000000000000003</v>
      </c>
      <c r="O2">
        <v>11</v>
      </c>
      <c r="P2" t="s">
        <v>23</v>
      </c>
      <c r="Q2">
        <v>2026</v>
      </c>
    </row>
    <row r="3" spans="1:17" x14ac:dyDescent="0.3">
      <c r="A3" t="s">
        <v>24</v>
      </c>
      <c r="B3" s="1">
        <v>46325</v>
      </c>
      <c r="C3" t="s">
        <v>25</v>
      </c>
      <c r="D3" t="s">
        <v>19</v>
      </c>
      <c r="E3" t="s">
        <v>26</v>
      </c>
      <c r="F3" t="s">
        <v>27</v>
      </c>
      <c r="G3">
        <v>1</v>
      </c>
      <c r="H3">
        <v>7000</v>
      </c>
      <c r="I3">
        <v>0</v>
      </c>
      <c r="J3" t="s">
        <v>28</v>
      </c>
      <c r="K3">
        <v>7000</v>
      </c>
      <c r="L3">
        <v>4760</v>
      </c>
      <c r="M3">
        <v>2240</v>
      </c>
      <c r="N3">
        <v>0.32</v>
      </c>
      <c r="O3">
        <v>10</v>
      </c>
      <c r="P3" t="s">
        <v>29</v>
      </c>
      <c r="Q3">
        <v>2026</v>
      </c>
    </row>
    <row r="4" spans="1:17" x14ac:dyDescent="0.3">
      <c r="A4" t="s">
        <v>30</v>
      </c>
      <c r="B4" s="1">
        <v>46355</v>
      </c>
      <c r="C4" t="s">
        <v>31</v>
      </c>
      <c r="D4" t="s">
        <v>32</v>
      </c>
      <c r="E4" t="s">
        <v>33</v>
      </c>
      <c r="F4" t="s">
        <v>34</v>
      </c>
      <c r="G4">
        <v>4</v>
      </c>
      <c r="H4">
        <v>2200</v>
      </c>
      <c r="I4">
        <v>0.05</v>
      </c>
      <c r="J4" t="s">
        <v>22</v>
      </c>
      <c r="K4">
        <v>8360</v>
      </c>
      <c r="L4">
        <v>5183.2</v>
      </c>
      <c r="M4">
        <v>3176.8</v>
      </c>
      <c r="N4">
        <v>0.38</v>
      </c>
      <c r="O4">
        <v>11</v>
      </c>
      <c r="P4" t="s">
        <v>23</v>
      </c>
      <c r="Q4">
        <v>2026</v>
      </c>
    </row>
    <row r="5" spans="1:17" x14ac:dyDescent="0.3">
      <c r="A5" t="s">
        <v>35</v>
      </c>
      <c r="B5" s="1">
        <v>46104</v>
      </c>
      <c r="C5" t="s">
        <v>36</v>
      </c>
      <c r="D5" t="s">
        <v>32</v>
      </c>
      <c r="E5" t="s">
        <v>33</v>
      </c>
      <c r="F5" t="s">
        <v>37</v>
      </c>
      <c r="G5">
        <v>3</v>
      </c>
      <c r="H5">
        <v>3200</v>
      </c>
      <c r="I5">
        <v>0.05</v>
      </c>
      <c r="J5" t="s">
        <v>22</v>
      </c>
      <c r="K5">
        <v>9120</v>
      </c>
      <c r="L5">
        <v>5654.4</v>
      </c>
      <c r="M5">
        <v>3465.6</v>
      </c>
      <c r="N5">
        <v>0.38</v>
      </c>
      <c r="O5">
        <v>3</v>
      </c>
      <c r="P5" t="s">
        <v>38</v>
      </c>
      <c r="Q5">
        <v>2026</v>
      </c>
    </row>
    <row r="6" spans="1:17" x14ac:dyDescent="0.3">
      <c r="A6" t="s">
        <v>39</v>
      </c>
      <c r="B6" s="1">
        <v>46070</v>
      </c>
      <c r="C6" t="s">
        <v>40</v>
      </c>
      <c r="D6" t="s">
        <v>19</v>
      </c>
      <c r="E6" t="s">
        <v>26</v>
      </c>
      <c r="F6" t="s">
        <v>27</v>
      </c>
      <c r="G6">
        <v>3</v>
      </c>
      <c r="H6">
        <v>7000</v>
      </c>
      <c r="I6">
        <v>0.05</v>
      </c>
      <c r="J6" t="s">
        <v>41</v>
      </c>
      <c r="K6">
        <v>19950</v>
      </c>
      <c r="L6">
        <v>13566</v>
      </c>
      <c r="M6">
        <v>6384</v>
      </c>
      <c r="N6">
        <v>0.32</v>
      </c>
      <c r="O6">
        <v>2</v>
      </c>
      <c r="P6" t="s">
        <v>42</v>
      </c>
      <c r="Q6">
        <v>2026</v>
      </c>
    </row>
    <row r="7" spans="1:17" x14ac:dyDescent="0.3">
      <c r="A7" t="s">
        <v>43</v>
      </c>
      <c r="B7" s="1">
        <v>46297</v>
      </c>
      <c r="C7" t="s">
        <v>44</v>
      </c>
      <c r="D7" t="s">
        <v>32</v>
      </c>
      <c r="E7" t="s">
        <v>20</v>
      </c>
      <c r="F7" t="s">
        <v>45</v>
      </c>
      <c r="G7">
        <v>1</v>
      </c>
      <c r="H7">
        <v>6000</v>
      </c>
      <c r="I7">
        <v>0.1</v>
      </c>
      <c r="J7" t="s">
        <v>28</v>
      </c>
      <c r="K7">
        <v>5400</v>
      </c>
      <c r="L7">
        <v>3888</v>
      </c>
      <c r="M7">
        <v>1512</v>
      </c>
      <c r="N7">
        <v>0.28000000000000003</v>
      </c>
      <c r="O7">
        <v>10</v>
      </c>
      <c r="P7" t="s">
        <v>29</v>
      </c>
      <c r="Q7">
        <v>2026</v>
      </c>
    </row>
    <row r="8" spans="1:17" x14ac:dyDescent="0.3">
      <c r="A8" t="s">
        <v>46</v>
      </c>
      <c r="B8" s="1">
        <v>46383</v>
      </c>
      <c r="C8" t="s">
        <v>47</v>
      </c>
      <c r="D8" t="s">
        <v>19</v>
      </c>
      <c r="E8" t="s">
        <v>20</v>
      </c>
      <c r="F8" t="s">
        <v>21</v>
      </c>
      <c r="G8">
        <v>2</v>
      </c>
      <c r="H8">
        <v>55000</v>
      </c>
      <c r="I8">
        <v>0.05</v>
      </c>
      <c r="J8" t="s">
        <v>41</v>
      </c>
      <c r="K8">
        <v>104500</v>
      </c>
      <c r="L8">
        <v>75240</v>
      </c>
      <c r="M8">
        <v>29260</v>
      </c>
      <c r="N8">
        <v>0.28000000000000003</v>
      </c>
      <c r="O8">
        <v>12</v>
      </c>
      <c r="P8" t="s">
        <v>48</v>
      </c>
      <c r="Q8">
        <v>2026</v>
      </c>
    </row>
    <row r="9" spans="1:17" x14ac:dyDescent="0.3">
      <c r="A9" t="s">
        <v>49</v>
      </c>
      <c r="B9" s="1">
        <v>46165</v>
      </c>
      <c r="C9" t="s">
        <v>50</v>
      </c>
      <c r="D9" t="s">
        <v>32</v>
      </c>
      <c r="E9" t="s">
        <v>26</v>
      </c>
      <c r="F9" t="s">
        <v>51</v>
      </c>
      <c r="G9">
        <v>2</v>
      </c>
      <c r="H9">
        <v>5500</v>
      </c>
      <c r="I9">
        <v>0.05</v>
      </c>
      <c r="J9" t="s">
        <v>22</v>
      </c>
      <c r="K9">
        <v>10450</v>
      </c>
      <c r="L9">
        <v>7106</v>
      </c>
      <c r="M9">
        <v>3344</v>
      </c>
      <c r="N9">
        <v>0.32</v>
      </c>
      <c r="O9">
        <v>5</v>
      </c>
      <c r="P9" t="s">
        <v>52</v>
      </c>
      <c r="Q9">
        <v>2026</v>
      </c>
    </row>
    <row r="10" spans="1:17" x14ac:dyDescent="0.3">
      <c r="A10" t="s">
        <v>53</v>
      </c>
      <c r="B10" s="1">
        <v>46334</v>
      </c>
      <c r="C10" t="s">
        <v>18</v>
      </c>
      <c r="D10" t="s">
        <v>54</v>
      </c>
      <c r="E10" t="s">
        <v>33</v>
      </c>
      <c r="F10" t="s">
        <v>55</v>
      </c>
      <c r="G10">
        <v>5</v>
      </c>
      <c r="H10">
        <v>1800</v>
      </c>
      <c r="I10">
        <v>0.15</v>
      </c>
      <c r="J10" t="s">
        <v>41</v>
      </c>
      <c r="K10">
        <v>7650</v>
      </c>
      <c r="L10">
        <v>4743</v>
      </c>
      <c r="M10">
        <v>2907</v>
      </c>
      <c r="N10">
        <v>0.38</v>
      </c>
      <c r="O10">
        <v>11</v>
      </c>
      <c r="P10" t="s">
        <v>23</v>
      </c>
      <c r="Q10">
        <v>2026</v>
      </c>
    </row>
    <row r="11" spans="1:17" x14ac:dyDescent="0.3">
      <c r="A11" t="s">
        <v>56</v>
      </c>
      <c r="B11" s="1">
        <v>46161</v>
      </c>
      <c r="C11" t="s">
        <v>57</v>
      </c>
      <c r="D11" t="s">
        <v>58</v>
      </c>
      <c r="E11" t="s">
        <v>33</v>
      </c>
      <c r="F11" t="s">
        <v>34</v>
      </c>
      <c r="G11">
        <v>2</v>
      </c>
      <c r="H11">
        <v>2200</v>
      </c>
      <c r="I11">
        <v>0.15</v>
      </c>
      <c r="J11" t="s">
        <v>22</v>
      </c>
      <c r="K11">
        <v>3740</v>
      </c>
      <c r="L11">
        <v>2318.8000000000002</v>
      </c>
      <c r="M11">
        <v>1421.2</v>
      </c>
      <c r="N11">
        <v>0.38</v>
      </c>
      <c r="O11">
        <v>5</v>
      </c>
      <c r="P11" t="s">
        <v>52</v>
      </c>
      <c r="Q11">
        <v>2026</v>
      </c>
    </row>
    <row r="12" spans="1:17" x14ac:dyDescent="0.3">
      <c r="A12" t="s">
        <v>59</v>
      </c>
      <c r="B12" s="1">
        <v>46184</v>
      </c>
      <c r="C12" t="s">
        <v>60</v>
      </c>
      <c r="D12" t="s">
        <v>58</v>
      </c>
      <c r="E12" t="s">
        <v>26</v>
      </c>
      <c r="F12" t="s">
        <v>51</v>
      </c>
      <c r="G12">
        <v>1</v>
      </c>
      <c r="H12">
        <v>5500</v>
      </c>
      <c r="I12">
        <v>0.05</v>
      </c>
      <c r="J12" t="s">
        <v>41</v>
      </c>
      <c r="K12">
        <v>5225</v>
      </c>
      <c r="L12">
        <v>3553</v>
      </c>
      <c r="M12">
        <v>1672</v>
      </c>
      <c r="N12">
        <v>0.32</v>
      </c>
      <c r="O12">
        <v>6</v>
      </c>
      <c r="P12" t="s">
        <v>61</v>
      </c>
      <c r="Q12">
        <v>2026</v>
      </c>
    </row>
    <row r="13" spans="1:17" x14ac:dyDescent="0.3">
      <c r="A13" t="s">
        <v>62</v>
      </c>
      <c r="B13" s="1">
        <v>46225</v>
      </c>
      <c r="C13" t="s">
        <v>36</v>
      </c>
      <c r="D13" t="s">
        <v>32</v>
      </c>
      <c r="E13" t="s">
        <v>33</v>
      </c>
      <c r="F13" t="s">
        <v>37</v>
      </c>
      <c r="G13">
        <v>2</v>
      </c>
      <c r="H13">
        <v>3200</v>
      </c>
      <c r="I13">
        <v>0.05</v>
      </c>
      <c r="J13" t="s">
        <v>41</v>
      </c>
      <c r="K13">
        <v>6080</v>
      </c>
      <c r="L13">
        <v>3769.6</v>
      </c>
      <c r="M13">
        <v>2310.4</v>
      </c>
      <c r="N13">
        <v>0.38</v>
      </c>
      <c r="O13">
        <v>7</v>
      </c>
      <c r="P13" t="s">
        <v>63</v>
      </c>
      <c r="Q13">
        <v>2026</v>
      </c>
    </row>
    <row r="14" spans="1:17" x14ac:dyDescent="0.3">
      <c r="A14" t="s">
        <v>64</v>
      </c>
      <c r="B14" s="1">
        <v>46321</v>
      </c>
      <c r="C14" t="s">
        <v>65</v>
      </c>
      <c r="D14" t="s">
        <v>19</v>
      </c>
      <c r="E14" t="s">
        <v>26</v>
      </c>
      <c r="F14" t="s">
        <v>51</v>
      </c>
      <c r="G14">
        <v>2</v>
      </c>
      <c r="H14">
        <v>5500</v>
      </c>
      <c r="I14">
        <v>0.05</v>
      </c>
      <c r="J14" t="s">
        <v>22</v>
      </c>
      <c r="K14">
        <v>10450</v>
      </c>
      <c r="L14">
        <v>7106</v>
      </c>
      <c r="M14">
        <v>3344</v>
      </c>
      <c r="N14">
        <v>0.32</v>
      </c>
      <c r="O14">
        <v>10</v>
      </c>
      <c r="P14" t="s">
        <v>29</v>
      </c>
      <c r="Q14">
        <v>2026</v>
      </c>
    </row>
    <row r="15" spans="1:17" x14ac:dyDescent="0.3">
      <c r="A15" t="s">
        <v>66</v>
      </c>
      <c r="B15" s="1">
        <v>46079</v>
      </c>
      <c r="C15" t="s">
        <v>67</v>
      </c>
      <c r="D15" t="s">
        <v>54</v>
      </c>
      <c r="E15" t="s">
        <v>20</v>
      </c>
      <c r="F15" t="s">
        <v>68</v>
      </c>
      <c r="G15">
        <v>4</v>
      </c>
      <c r="H15">
        <v>28000</v>
      </c>
      <c r="I15">
        <v>0.1</v>
      </c>
      <c r="J15" t="s">
        <v>41</v>
      </c>
      <c r="K15">
        <v>100800</v>
      </c>
      <c r="L15">
        <v>72576</v>
      </c>
      <c r="M15">
        <v>28224</v>
      </c>
      <c r="N15">
        <v>0.28000000000000003</v>
      </c>
      <c r="O15">
        <v>2</v>
      </c>
      <c r="P15" t="s">
        <v>42</v>
      </c>
      <c r="Q15">
        <v>2026</v>
      </c>
    </row>
    <row r="16" spans="1:17" x14ac:dyDescent="0.3">
      <c r="A16" t="s">
        <v>69</v>
      </c>
      <c r="B16" s="1">
        <v>46293</v>
      </c>
      <c r="C16" t="s">
        <v>70</v>
      </c>
      <c r="D16" t="s">
        <v>32</v>
      </c>
      <c r="E16" t="s">
        <v>26</v>
      </c>
      <c r="F16" t="s">
        <v>71</v>
      </c>
      <c r="G16">
        <v>1</v>
      </c>
      <c r="H16">
        <v>1800</v>
      </c>
      <c r="I16">
        <v>0.15</v>
      </c>
      <c r="J16" t="s">
        <v>72</v>
      </c>
      <c r="K16">
        <v>1530</v>
      </c>
      <c r="L16">
        <v>1040.4000000000001</v>
      </c>
      <c r="M16">
        <v>489.6</v>
      </c>
      <c r="N16">
        <v>0.32</v>
      </c>
      <c r="O16">
        <v>9</v>
      </c>
      <c r="P16" t="s">
        <v>73</v>
      </c>
      <c r="Q16">
        <v>2026</v>
      </c>
    </row>
    <row r="17" spans="1:17" x14ac:dyDescent="0.3">
      <c r="A17" t="s">
        <v>74</v>
      </c>
      <c r="B17" s="1">
        <v>46080</v>
      </c>
      <c r="C17" t="s">
        <v>75</v>
      </c>
      <c r="D17" t="s">
        <v>58</v>
      </c>
      <c r="E17" t="s">
        <v>26</v>
      </c>
      <c r="F17" t="s">
        <v>76</v>
      </c>
      <c r="G17">
        <v>2</v>
      </c>
      <c r="H17">
        <v>24000</v>
      </c>
      <c r="I17">
        <v>0.1</v>
      </c>
      <c r="J17" t="s">
        <v>22</v>
      </c>
      <c r="K17">
        <v>43200</v>
      </c>
      <c r="L17">
        <v>29376</v>
      </c>
      <c r="M17">
        <v>13824</v>
      </c>
      <c r="N17">
        <v>0.32</v>
      </c>
      <c r="O17">
        <v>2</v>
      </c>
      <c r="P17" t="s">
        <v>42</v>
      </c>
      <c r="Q17">
        <v>2026</v>
      </c>
    </row>
    <row r="18" spans="1:17" x14ac:dyDescent="0.3">
      <c r="A18" t="s">
        <v>77</v>
      </c>
      <c r="B18" s="1">
        <v>46343</v>
      </c>
      <c r="C18" t="s">
        <v>78</v>
      </c>
      <c r="D18" t="s">
        <v>58</v>
      </c>
      <c r="E18" t="s">
        <v>26</v>
      </c>
      <c r="F18" t="s">
        <v>71</v>
      </c>
      <c r="G18">
        <v>5</v>
      </c>
      <c r="H18">
        <v>1800</v>
      </c>
      <c r="I18">
        <v>0.05</v>
      </c>
      <c r="J18" t="s">
        <v>22</v>
      </c>
      <c r="K18">
        <v>8550</v>
      </c>
      <c r="L18">
        <v>5814</v>
      </c>
      <c r="M18">
        <v>2736</v>
      </c>
      <c r="N18">
        <v>0.32</v>
      </c>
      <c r="O18">
        <v>11</v>
      </c>
      <c r="P18" t="s">
        <v>23</v>
      </c>
      <c r="Q18">
        <v>2026</v>
      </c>
    </row>
    <row r="19" spans="1:17" x14ac:dyDescent="0.3">
      <c r="A19" t="s">
        <v>79</v>
      </c>
      <c r="B19" s="1">
        <v>46329</v>
      </c>
      <c r="C19" t="s">
        <v>80</v>
      </c>
      <c r="D19" t="s">
        <v>58</v>
      </c>
      <c r="E19" t="s">
        <v>26</v>
      </c>
      <c r="F19" t="s">
        <v>76</v>
      </c>
      <c r="G19">
        <v>1</v>
      </c>
      <c r="H19">
        <v>24000</v>
      </c>
      <c r="I19">
        <v>0</v>
      </c>
      <c r="J19" t="s">
        <v>22</v>
      </c>
      <c r="K19">
        <v>24000</v>
      </c>
      <c r="L19">
        <v>16320</v>
      </c>
      <c r="M19">
        <v>7680</v>
      </c>
      <c r="N19">
        <v>0.32</v>
      </c>
      <c r="O19">
        <v>11</v>
      </c>
      <c r="P19" t="s">
        <v>23</v>
      </c>
      <c r="Q19">
        <v>2026</v>
      </c>
    </row>
    <row r="20" spans="1:17" x14ac:dyDescent="0.3">
      <c r="A20" t="s">
        <v>81</v>
      </c>
      <c r="B20" s="1">
        <v>46146</v>
      </c>
      <c r="C20" t="s">
        <v>82</v>
      </c>
      <c r="D20" t="s">
        <v>58</v>
      </c>
      <c r="E20" t="s">
        <v>33</v>
      </c>
      <c r="F20" t="s">
        <v>83</v>
      </c>
      <c r="G20">
        <v>1</v>
      </c>
      <c r="H20">
        <v>2500</v>
      </c>
      <c r="I20">
        <v>0.15</v>
      </c>
      <c r="J20" t="s">
        <v>28</v>
      </c>
      <c r="K20">
        <v>2125</v>
      </c>
      <c r="L20">
        <v>1317.5</v>
      </c>
      <c r="M20">
        <v>807.5</v>
      </c>
      <c r="N20">
        <v>0.38</v>
      </c>
      <c r="O20">
        <v>5</v>
      </c>
      <c r="P20" t="s">
        <v>52</v>
      </c>
      <c r="Q20">
        <v>2026</v>
      </c>
    </row>
    <row r="21" spans="1:17" x14ac:dyDescent="0.3">
      <c r="A21" t="s">
        <v>84</v>
      </c>
      <c r="B21" s="1">
        <v>46360</v>
      </c>
      <c r="C21" t="s">
        <v>85</v>
      </c>
      <c r="D21" t="s">
        <v>54</v>
      </c>
      <c r="E21" t="s">
        <v>26</v>
      </c>
      <c r="F21" t="s">
        <v>71</v>
      </c>
      <c r="G21">
        <v>2</v>
      </c>
      <c r="H21">
        <v>1800</v>
      </c>
      <c r="I21">
        <v>0.05</v>
      </c>
      <c r="J21" t="s">
        <v>28</v>
      </c>
      <c r="K21">
        <v>3420</v>
      </c>
      <c r="L21">
        <v>2325.6</v>
      </c>
      <c r="M21">
        <v>1094.4000000000001</v>
      </c>
      <c r="N21">
        <v>0.32</v>
      </c>
      <c r="O21">
        <v>12</v>
      </c>
      <c r="P21" t="s">
        <v>48</v>
      </c>
      <c r="Q21">
        <v>2026</v>
      </c>
    </row>
    <row r="22" spans="1:17" x14ac:dyDescent="0.3">
      <c r="A22" t="s">
        <v>86</v>
      </c>
      <c r="B22" s="1">
        <v>46299</v>
      </c>
      <c r="C22" t="s">
        <v>87</v>
      </c>
      <c r="D22" t="s">
        <v>54</v>
      </c>
      <c r="E22" t="s">
        <v>33</v>
      </c>
      <c r="F22" t="s">
        <v>55</v>
      </c>
      <c r="G22">
        <v>3</v>
      </c>
      <c r="H22">
        <v>1800</v>
      </c>
      <c r="I22">
        <v>0.1</v>
      </c>
      <c r="J22" t="s">
        <v>22</v>
      </c>
      <c r="K22">
        <v>4860</v>
      </c>
      <c r="L22">
        <v>3013.2</v>
      </c>
      <c r="M22">
        <v>1846.8</v>
      </c>
      <c r="N22">
        <v>0.38</v>
      </c>
      <c r="O22">
        <v>10</v>
      </c>
      <c r="P22" t="s">
        <v>29</v>
      </c>
      <c r="Q22">
        <v>2026</v>
      </c>
    </row>
    <row r="23" spans="1:17" x14ac:dyDescent="0.3">
      <c r="A23" t="s">
        <v>88</v>
      </c>
      <c r="B23" s="1">
        <v>46149</v>
      </c>
      <c r="C23" t="s">
        <v>89</v>
      </c>
      <c r="D23" t="s">
        <v>58</v>
      </c>
      <c r="E23" t="s">
        <v>20</v>
      </c>
      <c r="F23" t="s">
        <v>21</v>
      </c>
      <c r="G23">
        <v>3</v>
      </c>
      <c r="H23">
        <v>55000</v>
      </c>
      <c r="I23">
        <v>0</v>
      </c>
      <c r="J23" t="s">
        <v>28</v>
      </c>
      <c r="K23">
        <v>165000</v>
      </c>
      <c r="L23">
        <v>118800</v>
      </c>
      <c r="M23">
        <v>46200</v>
      </c>
      <c r="N23">
        <v>0.28000000000000003</v>
      </c>
      <c r="O23">
        <v>5</v>
      </c>
      <c r="P23" t="s">
        <v>52</v>
      </c>
      <c r="Q23">
        <v>2026</v>
      </c>
    </row>
    <row r="24" spans="1:17" x14ac:dyDescent="0.3">
      <c r="A24" t="s">
        <v>90</v>
      </c>
      <c r="B24" s="1">
        <v>46026</v>
      </c>
      <c r="C24" t="s">
        <v>91</v>
      </c>
      <c r="D24" t="s">
        <v>19</v>
      </c>
      <c r="E24" t="s">
        <v>20</v>
      </c>
      <c r="F24" t="s">
        <v>21</v>
      </c>
      <c r="G24">
        <v>2</v>
      </c>
      <c r="H24">
        <v>55000</v>
      </c>
      <c r="I24">
        <v>0</v>
      </c>
      <c r="J24" t="s">
        <v>28</v>
      </c>
      <c r="K24">
        <v>110000</v>
      </c>
      <c r="L24">
        <v>79200</v>
      </c>
      <c r="M24">
        <v>30800</v>
      </c>
      <c r="N24">
        <v>0.28000000000000003</v>
      </c>
      <c r="O24">
        <v>1</v>
      </c>
      <c r="P24" t="s">
        <v>92</v>
      </c>
      <c r="Q24">
        <v>2026</v>
      </c>
    </row>
    <row r="25" spans="1:17" x14ac:dyDescent="0.3">
      <c r="A25" t="s">
        <v>93</v>
      </c>
      <c r="B25" s="1">
        <v>46165</v>
      </c>
      <c r="C25" t="s">
        <v>94</v>
      </c>
      <c r="D25" t="s">
        <v>54</v>
      </c>
      <c r="E25" t="s">
        <v>33</v>
      </c>
      <c r="F25" t="s">
        <v>37</v>
      </c>
      <c r="G25">
        <v>2</v>
      </c>
      <c r="H25">
        <v>3200</v>
      </c>
      <c r="I25">
        <v>0.1</v>
      </c>
      <c r="J25" t="s">
        <v>28</v>
      </c>
      <c r="K25">
        <v>5760</v>
      </c>
      <c r="L25">
        <v>3571.2</v>
      </c>
      <c r="M25">
        <v>2188.8000000000002</v>
      </c>
      <c r="N25">
        <v>0.38</v>
      </c>
      <c r="O25">
        <v>5</v>
      </c>
      <c r="P25" t="s">
        <v>52</v>
      </c>
      <c r="Q25">
        <v>2026</v>
      </c>
    </row>
    <row r="26" spans="1:17" x14ac:dyDescent="0.3">
      <c r="A26" t="s">
        <v>95</v>
      </c>
      <c r="B26" s="1">
        <v>46265</v>
      </c>
      <c r="C26" t="s">
        <v>96</v>
      </c>
      <c r="D26" t="s">
        <v>54</v>
      </c>
      <c r="E26" t="s">
        <v>26</v>
      </c>
      <c r="F26" t="s">
        <v>97</v>
      </c>
      <c r="G26">
        <v>1</v>
      </c>
      <c r="H26">
        <v>9000</v>
      </c>
      <c r="I26">
        <v>0</v>
      </c>
      <c r="J26" t="s">
        <v>41</v>
      </c>
      <c r="K26">
        <v>9000</v>
      </c>
      <c r="L26">
        <v>6120</v>
      </c>
      <c r="M26">
        <v>2880</v>
      </c>
      <c r="N26">
        <v>0.32</v>
      </c>
      <c r="O26">
        <v>8</v>
      </c>
      <c r="P26" t="s">
        <v>98</v>
      </c>
      <c r="Q26">
        <v>2026</v>
      </c>
    </row>
    <row r="27" spans="1:17" x14ac:dyDescent="0.3">
      <c r="A27" t="s">
        <v>99</v>
      </c>
      <c r="B27" s="1">
        <v>46262</v>
      </c>
      <c r="C27" t="s">
        <v>100</v>
      </c>
      <c r="D27" t="s">
        <v>19</v>
      </c>
      <c r="E27" t="s">
        <v>33</v>
      </c>
      <c r="F27" t="s">
        <v>83</v>
      </c>
      <c r="G27">
        <v>1</v>
      </c>
      <c r="H27">
        <v>2500</v>
      </c>
      <c r="I27">
        <v>0</v>
      </c>
      <c r="J27" t="s">
        <v>28</v>
      </c>
      <c r="K27">
        <v>2500</v>
      </c>
      <c r="L27">
        <v>1550</v>
      </c>
      <c r="M27">
        <v>950</v>
      </c>
      <c r="N27">
        <v>0.38</v>
      </c>
      <c r="O27">
        <v>8</v>
      </c>
      <c r="P27" t="s">
        <v>98</v>
      </c>
      <c r="Q27">
        <v>2026</v>
      </c>
    </row>
    <row r="28" spans="1:17" x14ac:dyDescent="0.3">
      <c r="A28" t="s">
        <v>101</v>
      </c>
      <c r="B28" s="1">
        <v>46121</v>
      </c>
      <c r="C28" t="s">
        <v>102</v>
      </c>
      <c r="D28" t="s">
        <v>32</v>
      </c>
      <c r="E28" t="s">
        <v>20</v>
      </c>
      <c r="F28" t="s">
        <v>103</v>
      </c>
      <c r="G28">
        <v>4</v>
      </c>
      <c r="H28">
        <v>22000</v>
      </c>
      <c r="I28">
        <v>0.05</v>
      </c>
      <c r="J28" t="s">
        <v>41</v>
      </c>
      <c r="K28">
        <v>83600</v>
      </c>
      <c r="L28">
        <v>60192</v>
      </c>
      <c r="M28">
        <v>23408</v>
      </c>
      <c r="N28">
        <v>0.28000000000000003</v>
      </c>
      <c r="O28">
        <v>4</v>
      </c>
      <c r="P28" t="s">
        <v>104</v>
      </c>
      <c r="Q28">
        <v>2026</v>
      </c>
    </row>
    <row r="29" spans="1:17" x14ac:dyDescent="0.3">
      <c r="A29" t="s">
        <v>105</v>
      </c>
      <c r="B29" s="1">
        <v>46150</v>
      </c>
      <c r="C29" t="s">
        <v>106</v>
      </c>
      <c r="D29" t="s">
        <v>19</v>
      </c>
      <c r="E29" t="s">
        <v>20</v>
      </c>
      <c r="F29" t="s">
        <v>45</v>
      </c>
      <c r="G29">
        <v>5</v>
      </c>
      <c r="H29">
        <v>6000</v>
      </c>
      <c r="I29">
        <v>0</v>
      </c>
      <c r="J29" t="s">
        <v>22</v>
      </c>
      <c r="K29">
        <v>30000</v>
      </c>
      <c r="L29">
        <v>21600</v>
      </c>
      <c r="M29">
        <v>8400</v>
      </c>
      <c r="N29">
        <v>0.28000000000000003</v>
      </c>
      <c r="O29">
        <v>5</v>
      </c>
      <c r="P29" t="s">
        <v>52</v>
      </c>
      <c r="Q29">
        <v>2026</v>
      </c>
    </row>
    <row r="30" spans="1:17" x14ac:dyDescent="0.3">
      <c r="A30" t="s">
        <v>107</v>
      </c>
      <c r="B30" s="1">
        <v>46144</v>
      </c>
      <c r="C30" t="s">
        <v>108</v>
      </c>
      <c r="D30" t="s">
        <v>19</v>
      </c>
      <c r="E30" t="s">
        <v>20</v>
      </c>
      <c r="F30" t="s">
        <v>45</v>
      </c>
      <c r="G30">
        <v>4</v>
      </c>
      <c r="H30">
        <v>6000</v>
      </c>
      <c r="I30">
        <v>0.1</v>
      </c>
      <c r="J30" t="s">
        <v>28</v>
      </c>
      <c r="K30">
        <v>21600</v>
      </c>
      <c r="L30">
        <v>15552</v>
      </c>
      <c r="M30">
        <v>6048</v>
      </c>
      <c r="N30">
        <v>0.28000000000000003</v>
      </c>
      <c r="O30">
        <v>5</v>
      </c>
      <c r="P30" t="s">
        <v>52</v>
      </c>
      <c r="Q30">
        <v>2026</v>
      </c>
    </row>
    <row r="31" spans="1:17" x14ac:dyDescent="0.3">
      <c r="A31" t="s">
        <v>109</v>
      </c>
      <c r="B31" s="1">
        <v>46217</v>
      </c>
      <c r="C31" t="s">
        <v>110</v>
      </c>
      <c r="D31" t="s">
        <v>54</v>
      </c>
      <c r="E31" t="s">
        <v>20</v>
      </c>
      <c r="F31" t="s">
        <v>45</v>
      </c>
      <c r="G31">
        <v>3</v>
      </c>
      <c r="H31">
        <v>6000</v>
      </c>
      <c r="I31">
        <v>0.1</v>
      </c>
      <c r="J31" t="s">
        <v>28</v>
      </c>
      <c r="K31">
        <v>16200</v>
      </c>
      <c r="L31">
        <v>11664</v>
      </c>
      <c r="M31">
        <v>4536</v>
      </c>
      <c r="N31">
        <v>0.28000000000000003</v>
      </c>
      <c r="O31">
        <v>7</v>
      </c>
      <c r="P31" t="s">
        <v>63</v>
      </c>
      <c r="Q31">
        <v>2026</v>
      </c>
    </row>
    <row r="32" spans="1:17" x14ac:dyDescent="0.3">
      <c r="A32" t="s">
        <v>111</v>
      </c>
      <c r="B32" s="1">
        <v>46120</v>
      </c>
      <c r="C32" t="s">
        <v>112</v>
      </c>
      <c r="D32" t="s">
        <v>32</v>
      </c>
      <c r="E32" t="s">
        <v>26</v>
      </c>
      <c r="F32" t="s">
        <v>97</v>
      </c>
      <c r="G32">
        <v>1</v>
      </c>
      <c r="H32">
        <v>9000</v>
      </c>
      <c r="I32">
        <v>0.1</v>
      </c>
      <c r="J32" t="s">
        <v>22</v>
      </c>
      <c r="K32">
        <v>8100</v>
      </c>
      <c r="L32">
        <v>5508</v>
      </c>
      <c r="M32">
        <v>2592</v>
      </c>
      <c r="N32">
        <v>0.32</v>
      </c>
      <c r="O32">
        <v>4</v>
      </c>
      <c r="P32" t="s">
        <v>104</v>
      </c>
      <c r="Q32">
        <v>2026</v>
      </c>
    </row>
    <row r="33" spans="1:17" x14ac:dyDescent="0.3">
      <c r="A33" t="s">
        <v>113</v>
      </c>
      <c r="B33" s="1">
        <v>46048</v>
      </c>
      <c r="C33" t="s">
        <v>114</v>
      </c>
      <c r="D33" t="s">
        <v>19</v>
      </c>
      <c r="E33" t="s">
        <v>33</v>
      </c>
      <c r="F33" t="s">
        <v>37</v>
      </c>
      <c r="G33">
        <v>5</v>
      </c>
      <c r="H33">
        <v>3200</v>
      </c>
      <c r="I33">
        <v>0.1</v>
      </c>
      <c r="J33" t="s">
        <v>28</v>
      </c>
      <c r="K33">
        <v>14400</v>
      </c>
      <c r="L33">
        <v>8928</v>
      </c>
      <c r="M33">
        <v>5472</v>
      </c>
      <c r="N33">
        <v>0.38</v>
      </c>
      <c r="O33">
        <v>1</v>
      </c>
      <c r="P33" t="s">
        <v>92</v>
      </c>
      <c r="Q33">
        <v>2026</v>
      </c>
    </row>
    <row r="34" spans="1:17" x14ac:dyDescent="0.3">
      <c r="A34" t="s">
        <v>115</v>
      </c>
      <c r="B34" s="1">
        <v>46058</v>
      </c>
      <c r="C34" t="s">
        <v>116</v>
      </c>
      <c r="D34" t="s">
        <v>58</v>
      </c>
      <c r="E34" t="s">
        <v>33</v>
      </c>
      <c r="F34" t="s">
        <v>83</v>
      </c>
      <c r="G34">
        <v>2</v>
      </c>
      <c r="H34">
        <v>2500</v>
      </c>
      <c r="I34">
        <v>0.1</v>
      </c>
      <c r="J34" t="s">
        <v>22</v>
      </c>
      <c r="K34">
        <v>4500</v>
      </c>
      <c r="L34">
        <v>2790</v>
      </c>
      <c r="M34">
        <v>1710</v>
      </c>
      <c r="N34">
        <v>0.38</v>
      </c>
      <c r="O34">
        <v>2</v>
      </c>
      <c r="P34" t="s">
        <v>42</v>
      </c>
      <c r="Q34">
        <v>2026</v>
      </c>
    </row>
    <row r="35" spans="1:17" x14ac:dyDescent="0.3">
      <c r="A35" t="s">
        <v>117</v>
      </c>
      <c r="B35" s="1">
        <v>46340</v>
      </c>
      <c r="C35" t="s">
        <v>118</v>
      </c>
      <c r="D35" t="s">
        <v>32</v>
      </c>
      <c r="E35" t="s">
        <v>20</v>
      </c>
      <c r="F35" t="s">
        <v>45</v>
      </c>
      <c r="G35">
        <v>5</v>
      </c>
      <c r="H35">
        <v>6000</v>
      </c>
      <c r="I35">
        <v>0.1</v>
      </c>
      <c r="J35" t="s">
        <v>28</v>
      </c>
      <c r="K35">
        <v>27000</v>
      </c>
      <c r="L35">
        <v>19440</v>
      </c>
      <c r="M35">
        <v>7560</v>
      </c>
      <c r="N35">
        <v>0.28000000000000003</v>
      </c>
      <c r="O35">
        <v>11</v>
      </c>
      <c r="P35" t="s">
        <v>23</v>
      </c>
      <c r="Q35">
        <v>2026</v>
      </c>
    </row>
    <row r="36" spans="1:17" x14ac:dyDescent="0.3">
      <c r="A36" t="s">
        <v>119</v>
      </c>
      <c r="B36" s="1">
        <v>46365</v>
      </c>
      <c r="C36" t="s">
        <v>120</v>
      </c>
      <c r="D36" t="s">
        <v>32</v>
      </c>
      <c r="E36" t="s">
        <v>33</v>
      </c>
      <c r="F36" t="s">
        <v>121</v>
      </c>
      <c r="G36">
        <v>2</v>
      </c>
      <c r="H36">
        <v>900</v>
      </c>
      <c r="I36">
        <v>0.05</v>
      </c>
      <c r="J36" t="s">
        <v>41</v>
      </c>
      <c r="K36">
        <v>1710</v>
      </c>
      <c r="L36">
        <v>1060.2</v>
      </c>
      <c r="M36">
        <v>649.79999999999995</v>
      </c>
      <c r="N36">
        <v>0.37999999999999989</v>
      </c>
      <c r="O36">
        <v>12</v>
      </c>
      <c r="P36" t="s">
        <v>48</v>
      </c>
      <c r="Q36">
        <v>2026</v>
      </c>
    </row>
    <row r="37" spans="1:17" x14ac:dyDescent="0.3">
      <c r="A37" t="s">
        <v>122</v>
      </c>
      <c r="B37" s="1">
        <v>46184</v>
      </c>
      <c r="C37" t="s">
        <v>123</v>
      </c>
      <c r="D37" t="s">
        <v>19</v>
      </c>
      <c r="E37" t="s">
        <v>20</v>
      </c>
      <c r="F37" t="s">
        <v>21</v>
      </c>
      <c r="G37">
        <v>4</v>
      </c>
      <c r="H37">
        <v>55000</v>
      </c>
      <c r="I37">
        <v>0.1</v>
      </c>
      <c r="J37" t="s">
        <v>28</v>
      </c>
      <c r="K37">
        <v>198000</v>
      </c>
      <c r="L37">
        <v>142560</v>
      </c>
      <c r="M37">
        <v>55440</v>
      </c>
      <c r="N37">
        <v>0.28000000000000003</v>
      </c>
      <c r="O37">
        <v>6</v>
      </c>
      <c r="P37" t="s">
        <v>61</v>
      </c>
      <c r="Q37">
        <v>2026</v>
      </c>
    </row>
    <row r="38" spans="1:17" x14ac:dyDescent="0.3">
      <c r="A38" t="s">
        <v>124</v>
      </c>
      <c r="B38" s="1">
        <v>46282</v>
      </c>
      <c r="C38" t="s">
        <v>125</v>
      </c>
      <c r="D38" t="s">
        <v>32</v>
      </c>
      <c r="E38" t="s">
        <v>26</v>
      </c>
      <c r="F38" t="s">
        <v>97</v>
      </c>
      <c r="G38">
        <v>3</v>
      </c>
      <c r="H38">
        <v>9000</v>
      </c>
      <c r="I38">
        <v>0</v>
      </c>
      <c r="J38" t="s">
        <v>28</v>
      </c>
      <c r="K38">
        <v>27000</v>
      </c>
      <c r="L38">
        <v>18360</v>
      </c>
      <c r="M38">
        <v>8640</v>
      </c>
      <c r="N38">
        <v>0.32</v>
      </c>
      <c r="O38">
        <v>9</v>
      </c>
      <c r="P38" t="s">
        <v>73</v>
      </c>
      <c r="Q38">
        <v>2026</v>
      </c>
    </row>
    <row r="39" spans="1:17" x14ac:dyDescent="0.3">
      <c r="A39" t="s">
        <v>126</v>
      </c>
      <c r="B39" s="1">
        <v>46247</v>
      </c>
      <c r="C39" t="s">
        <v>127</v>
      </c>
      <c r="D39" t="s">
        <v>32</v>
      </c>
      <c r="E39" t="s">
        <v>33</v>
      </c>
      <c r="F39" t="s">
        <v>121</v>
      </c>
      <c r="G39">
        <v>5</v>
      </c>
      <c r="H39">
        <v>900</v>
      </c>
      <c r="I39">
        <v>0.15</v>
      </c>
      <c r="J39" t="s">
        <v>22</v>
      </c>
      <c r="K39">
        <v>3825</v>
      </c>
      <c r="L39">
        <v>2371.5</v>
      </c>
      <c r="M39">
        <v>1453.5</v>
      </c>
      <c r="N39">
        <v>0.38</v>
      </c>
      <c r="O39">
        <v>8</v>
      </c>
      <c r="P39" t="s">
        <v>98</v>
      </c>
      <c r="Q39">
        <v>2026</v>
      </c>
    </row>
    <row r="40" spans="1:17" x14ac:dyDescent="0.3">
      <c r="A40" t="s">
        <v>128</v>
      </c>
      <c r="B40" s="1">
        <v>46091</v>
      </c>
      <c r="C40" t="s">
        <v>129</v>
      </c>
      <c r="D40" t="s">
        <v>32</v>
      </c>
      <c r="E40" t="s">
        <v>26</v>
      </c>
      <c r="F40" t="s">
        <v>27</v>
      </c>
      <c r="G40">
        <v>1</v>
      </c>
      <c r="H40">
        <v>7000</v>
      </c>
      <c r="I40">
        <v>0.15</v>
      </c>
      <c r="J40" t="s">
        <v>72</v>
      </c>
      <c r="K40">
        <v>5950</v>
      </c>
      <c r="L40">
        <v>4046</v>
      </c>
      <c r="M40">
        <v>1904</v>
      </c>
      <c r="N40">
        <v>0.32</v>
      </c>
      <c r="O40">
        <v>3</v>
      </c>
      <c r="P40" t="s">
        <v>38</v>
      </c>
      <c r="Q40">
        <v>2026</v>
      </c>
    </row>
    <row r="41" spans="1:17" x14ac:dyDescent="0.3">
      <c r="A41" t="s">
        <v>130</v>
      </c>
      <c r="B41" s="1">
        <v>46332</v>
      </c>
      <c r="C41" t="s">
        <v>131</v>
      </c>
      <c r="D41" t="s">
        <v>54</v>
      </c>
      <c r="E41" t="s">
        <v>20</v>
      </c>
      <c r="F41" t="s">
        <v>132</v>
      </c>
      <c r="G41">
        <v>2</v>
      </c>
      <c r="H41">
        <v>3500</v>
      </c>
      <c r="I41">
        <v>0.15</v>
      </c>
      <c r="J41" t="s">
        <v>72</v>
      </c>
      <c r="K41">
        <v>5950</v>
      </c>
      <c r="L41">
        <v>4284</v>
      </c>
      <c r="M41">
        <v>1666</v>
      </c>
      <c r="N41">
        <v>0.28000000000000003</v>
      </c>
      <c r="O41">
        <v>11</v>
      </c>
      <c r="P41" t="s">
        <v>23</v>
      </c>
      <c r="Q41">
        <v>2026</v>
      </c>
    </row>
    <row r="42" spans="1:17" x14ac:dyDescent="0.3">
      <c r="A42" t="s">
        <v>133</v>
      </c>
      <c r="B42" s="1">
        <v>46049</v>
      </c>
      <c r="C42" t="s">
        <v>134</v>
      </c>
      <c r="D42" t="s">
        <v>58</v>
      </c>
      <c r="E42" t="s">
        <v>20</v>
      </c>
      <c r="F42" t="s">
        <v>45</v>
      </c>
      <c r="G42">
        <v>3</v>
      </c>
      <c r="H42">
        <v>6000</v>
      </c>
      <c r="I42">
        <v>0</v>
      </c>
      <c r="J42" t="s">
        <v>72</v>
      </c>
      <c r="K42">
        <v>18000</v>
      </c>
      <c r="L42">
        <v>12960</v>
      </c>
      <c r="M42">
        <v>5040</v>
      </c>
      <c r="N42">
        <v>0.28000000000000003</v>
      </c>
      <c r="O42">
        <v>1</v>
      </c>
      <c r="P42" t="s">
        <v>92</v>
      </c>
      <c r="Q42">
        <v>2026</v>
      </c>
    </row>
    <row r="43" spans="1:17" x14ac:dyDescent="0.3">
      <c r="A43" t="s">
        <v>135</v>
      </c>
      <c r="B43" s="1">
        <v>46105</v>
      </c>
      <c r="C43" t="s">
        <v>136</v>
      </c>
      <c r="D43" t="s">
        <v>19</v>
      </c>
      <c r="E43" t="s">
        <v>33</v>
      </c>
      <c r="F43" t="s">
        <v>37</v>
      </c>
      <c r="G43">
        <v>5</v>
      </c>
      <c r="H43">
        <v>3200</v>
      </c>
      <c r="I43">
        <v>0.15</v>
      </c>
      <c r="J43" t="s">
        <v>22</v>
      </c>
      <c r="K43">
        <v>13600</v>
      </c>
      <c r="L43">
        <v>8432</v>
      </c>
      <c r="M43">
        <v>5168</v>
      </c>
      <c r="N43">
        <v>0.38</v>
      </c>
      <c r="O43">
        <v>3</v>
      </c>
      <c r="P43" t="s">
        <v>38</v>
      </c>
      <c r="Q43">
        <v>2026</v>
      </c>
    </row>
    <row r="44" spans="1:17" x14ac:dyDescent="0.3">
      <c r="A44" t="s">
        <v>137</v>
      </c>
      <c r="B44" s="1">
        <v>46061</v>
      </c>
      <c r="C44" t="s">
        <v>138</v>
      </c>
      <c r="D44" t="s">
        <v>58</v>
      </c>
      <c r="E44" t="s">
        <v>33</v>
      </c>
      <c r="F44" t="s">
        <v>55</v>
      </c>
      <c r="G44">
        <v>5</v>
      </c>
      <c r="H44">
        <v>1800</v>
      </c>
      <c r="I44">
        <v>0</v>
      </c>
      <c r="J44" t="s">
        <v>41</v>
      </c>
      <c r="K44">
        <v>9000</v>
      </c>
      <c r="L44">
        <v>5580</v>
      </c>
      <c r="M44">
        <v>3420</v>
      </c>
      <c r="N44">
        <v>0.38</v>
      </c>
      <c r="O44">
        <v>2</v>
      </c>
      <c r="P44" t="s">
        <v>42</v>
      </c>
      <c r="Q44">
        <v>2026</v>
      </c>
    </row>
    <row r="45" spans="1:17" x14ac:dyDescent="0.3">
      <c r="A45" t="s">
        <v>139</v>
      </c>
      <c r="B45" s="1">
        <v>46088</v>
      </c>
      <c r="C45" t="s">
        <v>50</v>
      </c>
      <c r="D45" t="s">
        <v>58</v>
      </c>
      <c r="E45" t="s">
        <v>20</v>
      </c>
      <c r="F45" t="s">
        <v>132</v>
      </c>
      <c r="G45">
        <v>3</v>
      </c>
      <c r="H45">
        <v>3500</v>
      </c>
      <c r="I45">
        <v>0</v>
      </c>
      <c r="J45" t="s">
        <v>22</v>
      </c>
      <c r="K45">
        <v>10500</v>
      </c>
      <c r="L45">
        <v>7560</v>
      </c>
      <c r="M45">
        <v>2940</v>
      </c>
      <c r="N45">
        <v>0.28000000000000003</v>
      </c>
      <c r="O45">
        <v>3</v>
      </c>
      <c r="P45" t="s">
        <v>38</v>
      </c>
      <c r="Q45">
        <v>2026</v>
      </c>
    </row>
    <row r="46" spans="1:17" x14ac:dyDescent="0.3">
      <c r="A46" t="s">
        <v>140</v>
      </c>
      <c r="B46" s="1">
        <v>46204</v>
      </c>
      <c r="C46" t="s">
        <v>36</v>
      </c>
      <c r="D46" t="s">
        <v>58</v>
      </c>
      <c r="E46" t="s">
        <v>33</v>
      </c>
      <c r="F46" t="s">
        <v>37</v>
      </c>
      <c r="G46">
        <v>5</v>
      </c>
      <c r="H46">
        <v>3200</v>
      </c>
      <c r="I46">
        <v>0.15</v>
      </c>
      <c r="J46" t="s">
        <v>28</v>
      </c>
      <c r="K46">
        <v>13600</v>
      </c>
      <c r="L46">
        <v>8432</v>
      </c>
      <c r="M46">
        <v>5168</v>
      </c>
      <c r="N46">
        <v>0.38</v>
      </c>
      <c r="O46">
        <v>7</v>
      </c>
      <c r="P46" t="s">
        <v>63</v>
      </c>
      <c r="Q46">
        <v>2026</v>
      </c>
    </row>
    <row r="47" spans="1:17" x14ac:dyDescent="0.3">
      <c r="A47" t="s">
        <v>141</v>
      </c>
      <c r="B47" s="1">
        <v>46234</v>
      </c>
      <c r="C47" t="s">
        <v>142</v>
      </c>
      <c r="D47" t="s">
        <v>58</v>
      </c>
      <c r="E47" t="s">
        <v>20</v>
      </c>
      <c r="F47" t="s">
        <v>68</v>
      </c>
      <c r="G47">
        <v>3</v>
      </c>
      <c r="H47">
        <v>28000</v>
      </c>
      <c r="I47">
        <v>0.1</v>
      </c>
      <c r="J47" t="s">
        <v>22</v>
      </c>
      <c r="K47">
        <v>75600</v>
      </c>
      <c r="L47">
        <v>54432</v>
      </c>
      <c r="M47">
        <v>21168</v>
      </c>
      <c r="N47">
        <v>0.28000000000000003</v>
      </c>
      <c r="O47">
        <v>7</v>
      </c>
      <c r="P47" t="s">
        <v>63</v>
      </c>
      <c r="Q47">
        <v>2026</v>
      </c>
    </row>
    <row r="48" spans="1:17" x14ac:dyDescent="0.3">
      <c r="A48" t="s">
        <v>143</v>
      </c>
      <c r="B48" s="1">
        <v>46218</v>
      </c>
      <c r="C48" t="s">
        <v>144</v>
      </c>
      <c r="D48" t="s">
        <v>32</v>
      </c>
      <c r="E48" t="s">
        <v>20</v>
      </c>
      <c r="F48" t="s">
        <v>45</v>
      </c>
      <c r="G48">
        <v>2</v>
      </c>
      <c r="H48">
        <v>6000</v>
      </c>
      <c r="I48">
        <v>0.05</v>
      </c>
      <c r="J48" t="s">
        <v>28</v>
      </c>
      <c r="K48">
        <v>11400</v>
      </c>
      <c r="L48">
        <v>8208</v>
      </c>
      <c r="M48">
        <v>3192</v>
      </c>
      <c r="N48">
        <v>0.28000000000000003</v>
      </c>
      <c r="O48">
        <v>7</v>
      </c>
      <c r="P48" t="s">
        <v>63</v>
      </c>
      <c r="Q48">
        <v>2026</v>
      </c>
    </row>
    <row r="49" spans="1:17" x14ac:dyDescent="0.3">
      <c r="A49" t="s">
        <v>145</v>
      </c>
      <c r="B49" s="1">
        <v>46137</v>
      </c>
      <c r="C49" t="s">
        <v>146</v>
      </c>
      <c r="D49" t="s">
        <v>32</v>
      </c>
      <c r="E49" t="s">
        <v>20</v>
      </c>
      <c r="F49" t="s">
        <v>68</v>
      </c>
      <c r="G49">
        <v>4</v>
      </c>
      <c r="H49">
        <v>28000</v>
      </c>
      <c r="I49">
        <v>0.05</v>
      </c>
      <c r="J49" t="s">
        <v>72</v>
      </c>
      <c r="K49">
        <v>106400</v>
      </c>
      <c r="L49">
        <v>76608</v>
      </c>
      <c r="M49">
        <v>29792</v>
      </c>
      <c r="N49">
        <v>0.28000000000000003</v>
      </c>
      <c r="O49">
        <v>4</v>
      </c>
      <c r="P49" t="s">
        <v>104</v>
      </c>
      <c r="Q49">
        <v>2026</v>
      </c>
    </row>
    <row r="50" spans="1:17" x14ac:dyDescent="0.3">
      <c r="A50" t="s">
        <v>147</v>
      </c>
      <c r="B50" s="1">
        <v>46351</v>
      </c>
      <c r="C50" t="s">
        <v>148</v>
      </c>
      <c r="D50" t="s">
        <v>32</v>
      </c>
      <c r="E50" t="s">
        <v>33</v>
      </c>
      <c r="F50" t="s">
        <v>37</v>
      </c>
      <c r="G50">
        <v>5</v>
      </c>
      <c r="H50">
        <v>3200</v>
      </c>
      <c r="I50">
        <v>0.05</v>
      </c>
      <c r="J50" t="s">
        <v>28</v>
      </c>
      <c r="K50">
        <v>15200</v>
      </c>
      <c r="L50">
        <v>9424</v>
      </c>
      <c r="M50">
        <v>5776</v>
      </c>
      <c r="N50">
        <v>0.38</v>
      </c>
      <c r="O50">
        <v>11</v>
      </c>
      <c r="P50" t="s">
        <v>23</v>
      </c>
      <c r="Q50">
        <v>2026</v>
      </c>
    </row>
    <row r="51" spans="1:17" x14ac:dyDescent="0.3">
      <c r="A51" t="s">
        <v>149</v>
      </c>
      <c r="B51" s="1">
        <v>46320</v>
      </c>
      <c r="C51" t="s">
        <v>96</v>
      </c>
      <c r="D51" t="s">
        <v>32</v>
      </c>
      <c r="E51" t="s">
        <v>26</v>
      </c>
      <c r="F51" t="s">
        <v>27</v>
      </c>
      <c r="G51">
        <v>1</v>
      </c>
      <c r="H51">
        <v>7000</v>
      </c>
      <c r="I51">
        <v>0.1</v>
      </c>
      <c r="J51" t="s">
        <v>41</v>
      </c>
      <c r="K51">
        <v>6300</v>
      </c>
      <c r="L51">
        <v>4284</v>
      </c>
      <c r="M51">
        <v>2016</v>
      </c>
      <c r="N51">
        <v>0.32</v>
      </c>
      <c r="O51">
        <v>10</v>
      </c>
      <c r="P51" t="s">
        <v>29</v>
      </c>
      <c r="Q51">
        <v>2026</v>
      </c>
    </row>
    <row r="52" spans="1:17" x14ac:dyDescent="0.3">
      <c r="A52" t="s">
        <v>150</v>
      </c>
      <c r="B52" s="1">
        <v>46333</v>
      </c>
      <c r="C52" t="s">
        <v>151</v>
      </c>
      <c r="D52" t="s">
        <v>19</v>
      </c>
      <c r="E52" t="s">
        <v>33</v>
      </c>
      <c r="F52" t="s">
        <v>83</v>
      </c>
      <c r="G52">
        <v>4</v>
      </c>
      <c r="H52">
        <v>2500</v>
      </c>
      <c r="I52">
        <v>0.1</v>
      </c>
      <c r="J52" t="s">
        <v>41</v>
      </c>
      <c r="K52">
        <v>9000</v>
      </c>
      <c r="L52">
        <v>5580</v>
      </c>
      <c r="M52">
        <v>3420</v>
      </c>
      <c r="N52">
        <v>0.38</v>
      </c>
      <c r="O52">
        <v>11</v>
      </c>
      <c r="P52" t="s">
        <v>23</v>
      </c>
      <c r="Q52">
        <v>2026</v>
      </c>
    </row>
    <row r="53" spans="1:17" x14ac:dyDescent="0.3">
      <c r="A53" t="s">
        <v>152</v>
      </c>
      <c r="B53" s="1">
        <v>46023</v>
      </c>
      <c r="C53" t="s">
        <v>153</v>
      </c>
      <c r="D53" t="s">
        <v>32</v>
      </c>
      <c r="E53" t="s">
        <v>33</v>
      </c>
      <c r="F53" t="s">
        <v>34</v>
      </c>
      <c r="G53">
        <v>2</v>
      </c>
      <c r="H53">
        <v>2200</v>
      </c>
      <c r="I53">
        <v>0.05</v>
      </c>
      <c r="J53" t="s">
        <v>72</v>
      </c>
      <c r="K53">
        <v>4180</v>
      </c>
      <c r="L53">
        <v>2591.6</v>
      </c>
      <c r="M53">
        <v>1588.4</v>
      </c>
      <c r="N53">
        <v>0.38</v>
      </c>
      <c r="O53">
        <v>1</v>
      </c>
      <c r="P53" t="s">
        <v>92</v>
      </c>
      <c r="Q53">
        <v>2026</v>
      </c>
    </row>
    <row r="54" spans="1:17" x14ac:dyDescent="0.3">
      <c r="A54" t="s">
        <v>154</v>
      </c>
      <c r="B54" s="1">
        <v>46362</v>
      </c>
      <c r="C54" t="s">
        <v>96</v>
      </c>
      <c r="D54" t="s">
        <v>54</v>
      </c>
      <c r="E54" t="s">
        <v>20</v>
      </c>
      <c r="F54" t="s">
        <v>132</v>
      </c>
      <c r="G54">
        <v>5</v>
      </c>
      <c r="H54">
        <v>3500</v>
      </c>
      <c r="I54">
        <v>0.05</v>
      </c>
      <c r="J54" t="s">
        <v>72</v>
      </c>
      <c r="K54">
        <v>16625</v>
      </c>
      <c r="L54">
        <v>11970</v>
      </c>
      <c r="M54">
        <v>4655</v>
      </c>
      <c r="N54">
        <v>0.28000000000000003</v>
      </c>
      <c r="O54">
        <v>12</v>
      </c>
      <c r="P54" t="s">
        <v>48</v>
      </c>
      <c r="Q54">
        <v>2026</v>
      </c>
    </row>
    <row r="55" spans="1:17" x14ac:dyDescent="0.3">
      <c r="A55" t="s">
        <v>155</v>
      </c>
      <c r="B55" s="1">
        <v>46306</v>
      </c>
      <c r="C55" t="s">
        <v>120</v>
      </c>
      <c r="D55" t="s">
        <v>32</v>
      </c>
      <c r="E55" t="s">
        <v>20</v>
      </c>
      <c r="F55" t="s">
        <v>68</v>
      </c>
      <c r="G55">
        <v>4</v>
      </c>
      <c r="H55">
        <v>28000</v>
      </c>
      <c r="I55">
        <v>0.15</v>
      </c>
      <c r="J55" t="s">
        <v>41</v>
      </c>
      <c r="K55">
        <v>95200</v>
      </c>
      <c r="L55">
        <v>68544</v>
      </c>
      <c r="M55">
        <v>26656</v>
      </c>
      <c r="N55">
        <v>0.28000000000000003</v>
      </c>
      <c r="O55">
        <v>10</v>
      </c>
      <c r="P55" t="s">
        <v>29</v>
      </c>
      <c r="Q55">
        <v>2026</v>
      </c>
    </row>
    <row r="56" spans="1:17" x14ac:dyDescent="0.3">
      <c r="A56" t="s">
        <v>156</v>
      </c>
      <c r="B56" s="1">
        <v>46303</v>
      </c>
      <c r="C56" t="s">
        <v>157</v>
      </c>
      <c r="D56" t="s">
        <v>32</v>
      </c>
      <c r="E56" t="s">
        <v>20</v>
      </c>
      <c r="F56" t="s">
        <v>132</v>
      </c>
      <c r="G56">
        <v>3</v>
      </c>
      <c r="H56">
        <v>3500</v>
      </c>
      <c r="I56">
        <v>0.05</v>
      </c>
      <c r="J56" t="s">
        <v>41</v>
      </c>
      <c r="K56">
        <v>9975</v>
      </c>
      <c r="L56">
        <v>7182</v>
      </c>
      <c r="M56">
        <v>2793</v>
      </c>
      <c r="N56">
        <v>0.28000000000000003</v>
      </c>
      <c r="O56">
        <v>10</v>
      </c>
      <c r="P56" t="s">
        <v>29</v>
      </c>
      <c r="Q56">
        <v>2026</v>
      </c>
    </row>
    <row r="57" spans="1:17" x14ac:dyDescent="0.3">
      <c r="A57" t="s">
        <v>158</v>
      </c>
      <c r="B57" s="1">
        <v>46249</v>
      </c>
      <c r="C57" t="s">
        <v>159</v>
      </c>
      <c r="D57" t="s">
        <v>32</v>
      </c>
      <c r="E57" t="s">
        <v>26</v>
      </c>
      <c r="F57" t="s">
        <v>97</v>
      </c>
      <c r="G57">
        <v>5</v>
      </c>
      <c r="H57">
        <v>9000</v>
      </c>
      <c r="I57">
        <v>0.1</v>
      </c>
      <c r="J57" t="s">
        <v>72</v>
      </c>
      <c r="K57">
        <v>40500</v>
      </c>
      <c r="L57">
        <v>27540</v>
      </c>
      <c r="M57">
        <v>12960</v>
      </c>
      <c r="N57">
        <v>0.32</v>
      </c>
      <c r="O57">
        <v>8</v>
      </c>
      <c r="P57" t="s">
        <v>98</v>
      </c>
      <c r="Q57">
        <v>2026</v>
      </c>
    </row>
    <row r="58" spans="1:17" x14ac:dyDescent="0.3">
      <c r="A58" t="s">
        <v>160</v>
      </c>
      <c r="B58" s="1">
        <v>46070</v>
      </c>
      <c r="C58" t="s">
        <v>161</v>
      </c>
      <c r="D58" t="s">
        <v>19</v>
      </c>
      <c r="E58" t="s">
        <v>20</v>
      </c>
      <c r="F58" t="s">
        <v>132</v>
      </c>
      <c r="G58">
        <v>2</v>
      </c>
      <c r="H58">
        <v>3500</v>
      </c>
      <c r="I58">
        <v>0.05</v>
      </c>
      <c r="J58" t="s">
        <v>28</v>
      </c>
      <c r="K58">
        <v>6650</v>
      </c>
      <c r="L58">
        <v>4788</v>
      </c>
      <c r="M58">
        <v>1862</v>
      </c>
      <c r="N58">
        <v>0.28000000000000003</v>
      </c>
      <c r="O58">
        <v>2</v>
      </c>
      <c r="P58" t="s">
        <v>42</v>
      </c>
      <c r="Q58">
        <v>2026</v>
      </c>
    </row>
    <row r="59" spans="1:17" x14ac:dyDescent="0.3">
      <c r="A59" t="s">
        <v>162</v>
      </c>
      <c r="B59" s="1">
        <v>46266</v>
      </c>
      <c r="C59" t="s">
        <v>163</v>
      </c>
      <c r="D59" t="s">
        <v>54</v>
      </c>
      <c r="E59" t="s">
        <v>33</v>
      </c>
      <c r="F59" t="s">
        <v>83</v>
      </c>
      <c r="G59">
        <v>4</v>
      </c>
      <c r="H59">
        <v>2500</v>
      </c>
      <c r="I59">
        <v>0.1</v>
      </c>
      <c r="J59" t="s">
        <v>41</v>
      </c>
      <c r="K59">
        <v>9000</v>
      </c>
      <c r="L59">
        <v>5580</v>
      </c>
      <c r="M59">
        <v>3420</v>
      </c>
      <c r="N59">
        <v>0.38</v>
      </c>
      <c r="O59">
        <v>9</v>
      </c>
      <c r="P59" t="s">
        <v>73</v>
      </c>
      <c r="Q59">
        <v>2026</v>
      </c>
    </row>
    <row r="60" spans="1:17" x14ac:dyDescent="0.3">
      <c r="A60" t="s">
        <v>164</v>
      </c>
      <c r="B60" s="1">
        <v>46227</v>
      </c>
      <c r="C60" t="s">
        <v>165</v>
      </c>
      <c r="D60" t="s">
        <v>58</v>
      </c>
      <c r="E60" t="s">
        <v>20</v>
      </c>
      <c r="F60" t="s">
        <v>68</v>
      </c>
      <c r="G60">
        <v>1</v>
      </c>
      <c r="H60">
        <v>28000</v>
      </c>
      <c r="I60">
        <v>0</v>
      </c>
      <c r="J60" t="s">
        <v>41</v>
      </c>
      <c r="K60">
        <v>28000</v>
      </c>
      <c r="L60">
        <v>20160</v>
      </c>
      <c r="M60">
        <v>7840</v>
      </c>
      <c r="N60">
        <v>0.28000000000000003</v>
      </c>
      <c r="O60">
        <v>7</v>
      </c>
      <c r="P60" t="s">
        <v>63</v>
      </c>
      <c r="Q60">
        <v>2026</v>
      </c>
    </row>
    <row r="61" spans="1:17" x14ac:dyDescent="0.3">
      <c r="A61" t="s">
        <v>166</v>
      </c>
      <c r="B61" s="1">
        <v>46048</v>
      </c>
      <c r="C61" t="s">
        <v>167</v>
      </c>
      <c r="D61" t="s">
        <v>32</v>
      </c>
      <c r="E61" t="s">
        <v>33</v>
      </c>
      <c r="F61" t="s">
        <v>55</v>
      </c>
      <c r="G61">
        <v>1</v>
      </c>
      <c r="H61">
        <v>1800</v>
      </c>
      <c r="I61">
        <v>0.1</v>
      </c>
      <c r="J61" t="s">
        <v>41</v>
      </c>
      <c r="K61">
        <v>1620</v>
      </c>
      <c r="L61">
        <v>1004.4</v>
      </c>
      <c r="M61">
        <v>615.6</v>
      </c>
      <c r="N61">
        <v>0.38</v>
      </c>
      <c r="O61">
        <v>1</v>
      </c>
      <c r="P61" t="s">
        <v>92</v>
      </c>
      <c r="Q61">
        <v>2026</v>
      </c>
    </row>
    <row r="62" spans="1:17" x14ac:dyDescent="0.3">
      <c r="A62" t="s">
        <v>168</v>
      </c>
      <c r="B62" s="1">
        <v>46336</v>
      </c>
      <c r="C62" t="s">
        <v>169</v>
      </c>
      <c r="D62" t="s">
        <v>54</v>
      </c>
      <c r="E62" t="s">
        <v>33</v>
      </c>
      <c r="F62" t="s">
        <v>34</v>
      </c>
      <c r="G62">
        <v>4</v>
      </c>
      <c r="H62">
        <v>2200</v>
      </c>
      <c r="I62">
        <v>0.1</v>
      </c>
      <c r="J62" t="s">
        <v>41</v>
      </c>
      <c r="K62">
        <v>7920</v>
      </c>
      <c r="L62">
        <v>4910.3999999999996</v>
      </c>
      <c r="M62">
        <v>3009.6</v>
      </c>
      <c r="N62">
        <v>0.38</v>
      </c>
      <c r="O62">
        <v>11</v>
      </c>
      <c r="P62" t="s">
        <v>23</v>
      </c>
      <c r="Q62">
        <v>2026</v>
      </c>
    </row>
    <row r="63" spans="1:17" x14ac:dyDescent="0.3">
      <c r="A63" t="s">
        <v>170</v>
      </c>
      <c r="B63" s="1">
        <v>46155</v>
      </c>
      <c r="C63" t="s">
        <v>142</v>
      </c>
      <c r="D63" t="s">
        <v>54</v>
      </c>
      <c r="E63" t="s">
        <v>20</v>
      </c>
      <c r="F63" t="s">
        <v>132</v>
      </c>
      <c r="G63">
        <v>5</v>
      </c>
      <c r="H63">
        <v>3500</v>
      </c>
      <c r="I63">
        <v>0.1</v>
      </c>
      <c r="J63" t="s">
        <v>22</v>
      </c>
      <c r="K63">
        <v>15750</v>
      </c>
      <c r="L63">
        <v>11340</v>
      </c>
      <c r="M63">
        <v>4410</v>
      </c>
      <c r="N63">
        <v>0.28000000000000003</v>
      </c>
      <c r="O63">
        <v>5</v>
      </c>
      <c r="P63" t="s">
        <v>52</v>
      </c>
      <c r="Q63">
        <v>2026</v>
      </c>
    </row>
    <row r="64" spans="1:17" x14ac:dyDescent="0.3">
      <c r="A64" t="s">
        <v>171</v>
      </c>
      <c r="B64" s="1">
        <v>46169</v>
      </c>
      <c r="C64" t="s">
        <v>172</v>
      </c>
      <c r="D64" t="s">
        <v>58</v>
      </c>
      <c r="E64" t="s">
        <v>20</v>
      </c>
      <c r="F64" t="s">
        <v>132</v>
      </c>
      <c r="G64">
        <v>3</v>
      </c>
      <c r="H64">
        <v>3500</v>
      </c>
      <c r="I64">
        <v>0.05</v>
      </c>
      <c r="J64" t="s">
        <v>28</v>
      </c>
      <c r="K64">
        <v>9975</v>
      </c>
      <c r="L64">
        <v>7182</v>
      </c>
      <c r="M64">
        <v>2793</v>
      </c>
      <c r="N64">
        <v>0.28000000000000003</v>
      </c>
      <c r="O64">
        <v>5</v>
      </c>
      <c r="P64" t="s">
        <v>52</v>
      </c>
      <c r="Q64">
        <v>2026</v>
      </c>
    </row>
    <row r="65" spans="1:17" x14ac:dyDescent="0.3">
      <c r="A65" t="s">
        <v>173</v>
      </c>
      <c r="B65" s="1">
        <v>46141</v>
      </c>
      <c r="C65" t="s">
        <v>174</v>
      </c>
      <c r="D65" t="s">
        <v>32</v>
      </c>
      <c r="E65" t="s">
        <v>26</v>
      </c>
      <c r="F65" t="s">
        <v>97</v>
      </c>
      <c r="G65">
        <v>2</v>
      </c>
      <c r="H65">
        <v>9000</v>
      </c>
      <c r="I65">
        <v>0</v>
      </c>
      <c r="J65" t="s">
        <v>41</v>
      </c>
      <c r="K65">
        <v>18000</v>
      </c>
      <c r="L65">
        <v>12240</v>
      </c>
      <c r="M65">
        <v>5760</v>
      </c>
      <c r="N65">
        <v>0.32</v>
      </c>
      <c r="O65">
        <v>4</v>
      </c>
      <c r="P65" t="s">
        <v>104</v>
      </c>
      <c r="Q65">
        <v>2026</v>
      </c>
    </row>
    <row r="66" spans="1:17" x14ac:dyDescent="0.3">
      <c r="A66" t="s">
        <v>175</v>
      </c>
      <c r="B66" s="1">
        <v>46235</v>
      </c>
      <c r="C66" t="s">
        <v>176</v>
      </c>
      <c r="D66" t="s">
        <v>54</v>
      </c>
      <c r="E66" t="s">
        <v>20</v>
      </c>
      <c r="F66" t="s">
        <v>68</v>
      </c>
      <c r="G66">
        <v>4</v>
      </c>
      <c r="H66">
        <v>28000</v>
      </c>
      <c r="I66">
        <v>0.1</v>
      </c>
      <c r="J66" t="s">
        <v>41</v>
      </c>
      <c r="K66">
        <v>100800</v>
      </c>
      <c r="L66">
        <v>72576</v>
      </c>
      <c r="M66">
        <v>28224</v>
      </c>
      <c r="N66">
        <v>0.28000000000000003</v>
      </c>
      <c r="O66">
        <v>8</v>
      </c>
      <c r="P66" t="s">
        <v>98</v>
      </c>
      <c r="Q66">
        <v>2026</v>
      </c>
    </row>
    <row r="67" spans="1:17" x14ac:dyDescent="0.3">
      <c r="A67" t="s">
        <v>177</v>
      </c>
      <c r="B67" s="1">
        <v>46026</v>
      </c>
      <c r="C67" t="s">
        <v>178</v>
      </c>
      <c r="D67" t="s">
        <v>58</v>
      </c>
      <c r="E67" t="s">
        <v>26</v>
      </c>
      <c r="F67" t="s">
        <v>51</v>
      </c>
      <c r="G67">
        <v>4</v>
      </c>
      <c r="H67">
        <v>5500</v>
      </c>
      <c r="I67">
        <v>0.1</v>
      </c>
      <c r="J67" t="s">
        <v>41</v>
      </c>
      <c r="K67">
        <v>19800</v>
      </c>
      <c r="L67">
        <v>13464</v>
      </c>
      <c r="M67">
        <v>6336</v>
      </c>
      <c r="N67">
        <v>0.32</v>
      </c>
      <c r="O67">
        <v>1</v>
      </c>
      <c r="P67" t="s">
        <v>92</v>
      </c>
      <c r="Q67">
        <v>2026</v>
      </c>
    </row>
    <row r="68" spans="1:17" x14ac:dyDescent="0.3">
      <c r="A68" t="s">
        <v>179</v>
      </c>
      <c r="B68" s="1">
        <v>46135</v>
      </c>
      <c r="C68" t="s">
        <v>100</v>
      </c>
      <c r="D68" t="s">
        <v>54</v>
      </c>
      <c r="E68" t="s">
        <v>26</v>
      </c>
      <c r="F68" t="s">
        <v>76</v>
      </c>
      <c r="G68">
        <v>4</v>
      </c>
      <c r="H68">
        <v>24000</v>
      </c>
      <c r="I68">
        <v>0</v>
      </c>
      <c r="J68" t="s">
        <v>28</v>
      </c>
      <c r="K68">
        <v>96000</v>
      </c>
      <c r="L68">
        <v>65280</v>
      </c>
      <c r="M68">
        <v>30720</v>
      </c>
      <c r="N68">
        <v>0.32</v>
      </c>
      <c r="O68">
        <v>4</v>
      </c>
      <c r="P68" t="s">
        <v>104</v>
      </c>
      <c r="Q68">
        <v>2026</v>
      </c>
    </row>
    <row r="69" spans="1:17" x14ac:dyDescent="0.3">
      <c r="A69" t="s">
        <v>180</v>
      </c>
      <c r="B69" s="1">
        <v>46262</v>
      </c>
      <c r="C69" t="s">
        <v>181</v>
      </c>
      <c r="D69" t="s">
        <v>19</v>
      </c>
      <c r="E69" t="s">
        <v>20</v>
      </c>
      <c r="F69" t="s">
        <v>103</v>
      </c>
      <c r="G69">
        <v>5</v>
      </c>
      <c r="H69">
        <v>22000</v>
      </c>
      <c r="I69">
        <v>0</v>
      </c>
      <c r="J69" t="s">
        <v>22</v>
      </c>
      <c r="K69">
        <v>110000</v>
      </c>
      <c r="L69">
        <v>79200</v>
      </c>
      <c r="M69">
        <v>30800</v>
      </c>
      <c r="N69">
        <v>0.28000000000000003</v>
      </c>
      <c r="O69">
        <v>8</v>
      </c>
      <c r="P69" t="s">
        <v>98</v>
      </c>
      <c r="Q69">
        <v>2026</v>
      </c>
    </row>
    <row r="70" spans="1:17" x14ac:dyDescent="0.3">
      <c r="A70" t="s">
        <v>182</v>
      </c>
      <c r="B70" s="1">
        <v>46352</v>
      </c>
      <c r="C70" t="s">
        <v>183</v>
      </c>
      <c r="D70" t="s">
        <v>54</v>
      </c>
      <c r="E70" t="s">
        <v>26</v>
      </c>
      <c r="F70" t="s">
        <v>97</v>
      </c>
      <c r="G70">
        <v>4</v>
      </c>
      <c r="H70">
        <v>9000</v>
      </c>
      <c r="I70">
        <v>0.05</v>
      </c>
      <c r="J70" t="s">
        <v>72</v>
      </c>
      <c r="K70">
        <v>34200</v>
      </c>
      <c r="L70">
        <v>23256</v>
      </c>
      <c r="M70">
        <v>10944</v>
      </c>
      <c r="N70">
        <v>0.32</v>
      </c>
      <c r="O70">
        <v>11</v>
      </c>
      <c r="P70" t="s">
        <v>23</v>
      </c>
      <c r="Q70">
        <v>2026</v>
      </c>
    </row>
    <row r="71" spans="1:17" x14ac:dyDescent="0.3">
      <c r="A71" t="s">
        <v>184</v>
      </c>
      <c r="B71" s="1">
        <v>46131</v>
      </c>
      <c r="C71" t="s">
        <v>185</v>
      </c>
      <c r="D71" t="s">
        <v>32</v>
      </c>
      <c r="E71" t="s">
        <v>26</v>
      </c>
      <c r="F71" t="s">
        <v>51</v>
      </c>
      <c r="G71">
        <v>3</v>
      </c>
      <c r="H71">
        <v>5500</v>
      </c>
      <c r="I71">
        <v>0.1</v>
      </c>
      <c r="J71" t="s">
        <v>22</v>
      </c>
      <c r="K71">
        <v>14850</v>
      </c>
      <c r="L71">
        <v>10098</v>
      </c>
      <c r="M71">
        <v>4752</v>
      </c>
      <c r="N71">
        <v>0.32</v>
      </c>
      <c r="O71">
        <v>4</v>
      </c>
      <c r="P71" t="s">
        <v>104</v>
      </c>
      <c r="Q71">
        <v>2026</v>
      </c>
    </row>
    <row r="72" spans="1:17" x14ac:dyDescent="0.3">
      <c r="A72" t="s">
        <v>186</v>
      </c>
      <c r="B72" s="1">
        <v>46263</v>
      </c>
      <c r="C72" t="s">
        <v>187</v>
      </c>
      <c r="D72" t="s">
        <v>19</v>
      </c>
      <c r="E72" t="s">
        <v>20</v>
      </c>
      <c r="F72" t="s">
        <v>103</v>
      </c>
      <c r="G72">
        <v>1</v>
      </c>
      <c r="H72">
        <v>22000</v>
      </c>
      <c r="I72">
        <v>0.05</v>
      </c>
      <c r="J72" t="s">
        <v>22</v>
      </c>
      <c r="K72">
        <v>20900</v>
      </c>
      <c r="L72">
        <v>15048</v>
      </c>
      <c r="M72">
        <v>5852</v>
      </c>
      <c r="N72">
        <v>0.28000000000000003</v>
      </c>
      <c r="O72">
        <v>8</v>
      </c>
      <c r="P72" t="s">
        <v>98</v>
      </c>
      <c r="Q72">
        <v>2026</v>
      </c>
    </row>
    <row r="73" spans="1:17" x14ac:dyDescent="0.3">
      <c r="A73" t="s">
        <v>188</v>
      </c>
      <c r="B73" s="1">
        <v>46149</v>
      </c>
      <c r="C73" t="s">
        <v>18</v>
      </c>
      <c r="D73" t="s">
        <v>54</v>
      </c>
      <c r="E73" t="s">
        <v>20</v>
      </c>
      <c r="F73" t="s">
        <v>21</v>
      </c>
      <c r="G73">
        <v>5</v>
      </c>
      <c r="H73">
        <v>55000</v>
      </c>
      <c r="I73">
        <v>0.05</v>
      </c>
      <c r="J73" t="s">
        <v>22</v>
      </c>
      <c r="K73">
        <v>261250</v>
      </c>
      <c r="L73">
        <v>188100</v>
      </c>
      <c r="M73">
        <v>73150</v>
      </c>
      <c r="N73">
        <v>0.28000000000000003</v>
      </c>
      <c r="O73">
        <v>5</v>
      </c>
      <c r="P73" t="s">
        <v>52</v>
      </c>
      <c r="Q73">
        <v>2026</v>
      </c>
    </row>
    <row r="74" spans="1:17" x14ac:dyDescent="0.3">
      <c r="A74" t="s">
        <v>189</v>
      </c>
      <c r="B74" s="1">
        <v>46311</v>
      </c>
      <c r="C74" t="s">
        <v>190</v>
      </c>
      <c r="D74" t="s">
        <v>19</v>
      </c>
      <c r="E74" t="s">
        <v>20</v>
      </c>
      <c r="F74" t="s">
        <v>45</v>
      </c>
      <c r="G74">
        <v>3</v>
      </c>
      <c r="H74">
        <v>6000</v>
      </c>
      <c r="I74">
        <v>0.05</v>
      </c>
      <c r="J74" t="s">
        <v>28</v>
      </c>
      <c r="K74">
        <v>17100</v>
      </c>
      <c r="L74">
        <v>12312</v>
      </c>
      <c r="M74">
        <v>4788</v>
      </c>
      <c r="N74">
        <v>0.28000000000000003</v>
      </c>
      <c r="O74">
        <v>10</v>
      </c>
      <c r="P74" t="s">
        <v>29</v>
      </c>
      <c r="Q74">
        <v>2026</v>
      </c>
    </row>
    <row r="75" spans="1:17" x14ac:dyDescent="0.3">
      <c r="A75" t="s">
        <v>191</v>
      </c>
      <c r="B75" s="1">
        <v>46182</v>
      </c>
      <c r="C75" t="s">
        <v>192</v>
      </c>
      <c r="D75" t="s">
        <v>54</v>
      </c>
      <c r="E75" t="s">
        <v>20</v>
      </c>
      <c r="F75" t="s">
        <v>103</v>
      </c>
      <c r="G75">
        <v>1</v>
      </c>
      <c r="H75">
        <v>22000</v>
      </c>
      <c r="I75">
        <v>0.05</v>
      </c>
      <c r="J75" t="s">
        <v>28</v>
      </c>
      <c r="K75">
        <v>20900</v>
      </c>
      <c r="L75">
        <v>15048</v>
      </c>
      <c r="M75">
        <v>5852</v>
      </c>
      <c r="N75">
        <v>0.28000000000000003</v>
      </c>
      <c r="O75">
        <v>6</v>
      </c>
      <c r="P75" t="s">
        <v>61</v>
      </c>
      <c r="Q75">
        <v>2026</v>
      </c>
    </row>
    <row r="76" spans="1:17" x14ac:dyDescent="0.3">
      <c r="A76" t="s">
        <v>193</v>
      </c>
      <c r="B76" s="1">
        <v>46061</v>
      </c>
      <c r="C76" t="s">
        <v>44</v>
      </c>
      <c r="D76" t="s">
        <v>19</v>
      </c>
      <c r="E76" t="s">
        <v>33</v>
      </c>
      <c r="F76" t="s">
        <v>55</v>
      </c>
      <c r="G76">
        <v>1</v>
      </c>
      <c r="H76">
        <v>1800</v>
      </c>
      <c r="I76">
        <v>0.15</v>
      </c>
      <c r="J76" t="s">
        <v>22</v>
      </c>
      <c r="K76">
        <v>1530</v>
      </c>
      <c r="L76">
        <v>948.6</v>
      </c>
      <c r="M76">
        <v>581.4</v>
      </c>
      <c r="N76">
        <v>0.38</v>
      </c>
      <c r="O76">
        <v>2</v>
      </c>
      <c r="P76" t="s">
        <v>42</v>
      </c>
      <c r="Q76">
        <v>2026</v>
      </c>
    </row>
    <row r="77" spans="1:17" x14ac:dyDescent="0.3">
      <c r="A77" t="s">
        <v>194</v>
      </c>
      <c r="B77" s="1">
        <v>46200</v>
      </c>
      <c r="C77" t="s">
        <v>118</v>
      </c>
      <c r="D77" t="s">
        <v>19</v>
      </c>
      <c r="E77" t="s">
        <v>33</v>
      </c>
      <c r="F77" t="s">
        <v>37</v>
      </c>
      <c r="G77">
        <v>3</v>
      </c>
      <c r="H77">
        <v>3200</v>
      </c>
      <c r="I77">
        <v>0</v>
      </c>
      <c r="J77" t="s">
        <v>41</v>
      </c>
      <c r="K77">
        <v>9600</v>
      </c>
      <c r="L77">
        <v>5952</v>
      </c>
      <c r="M77">
        <v>3648</v>
      </c>
      <c r="N77">
        <v>0.38</v>
      </c>
      <c r="O77">
        <v>6</v>
      </c>
      <c r="P77" t="s">
        <v>61</v>
      </c>
      <c r="Q77">
        <v>2026</v>
      </c>
    </row>
    <row r="78" spans="1:17" x14ac:dyDescent="0.3">
      <c r="A78" t="s">
        <v>195</v>
      </c>
      <c r="B78" s="1">
        <v>46273</v>
      </c>
      <c r="C78" t="s">
        <v>169</v>
      </c>
      <c r="D78" t="s">
        <v>54</v>
      </c>
      <c r="E78" t="s">
        <v>20</v>
      </c>
      <c r="F78" t="s">
        <v>45</v>
      </c>
      <c r="G78">
        <v>3</v>
      </c>
      <c r="H78">
        <v>6000</v>
      </c>
      <c r="I78">
        <v>0.15</v>
      </c>
      <c r="J78" t="s">
        <v>28</v>
      </c>
      <c r="K78">
        <v>15300</v>
      </c>
      <c r="L78">
        <v>11016</v>
      </c>
      <c r="M78">
        <v>4284</v>
      </c>
      <c r="N78">
        <v>0.28000000000000003</v>
      </c>
      <c r="O78">
        <v>9</v>
      </c>
      <c r="P78" t="s">
        <v>73</v>
      </c>
      <c r="Q78">
        <v>2026</v>
      </c>
    </row>
    <row r="79" spans="1:17" x14ac:dyDescent="0.3">
      <c r="A79" t="s">
        <v>196</v>
      </c>
      <c r="B79" s="1">
        <v>46290</v>
      </c>
      <c r="C79" t="s">
        <v>197</v>
      </c>
      <c r="D79" t="s">
        <v>54</v>
      </c>
      <c r="E79" t="s">
        <v>33</v>
      </c>
      <c r="F79" t="s">
        <v>121</v>
      </c>
      <c r="G79">
        <v>5</v>
      </c>
      <c r="H79">
        <v>900</v>
      </c>
      <c r="I79">
        <v>0.1</v>
      </c>
      <c r="J79" t="s">
        <v>72</v>
      </c>
      <c r="K79">
        <v>4050</v>
      </c>
      <c r="L79">
        <v>2511</v>
      </c>
      <c r="M79">
        <v>1539</v>
      </c>
      <c r="N79">
        <v>0.38</v>
      </c>
      <c r="O79">
        <v>9</v>
      </c>
      <c r="P79" t="s">
        <v>73</v>
      </c>
      <c r="Q79">
        <v>2026</v>
      </c>
    </row>
    <row r="80" spans="1:17" x14ac:dyDescent="0.3">
      <c r="A80" t="s">
        <v>198</v>
      </c>
      <c r="B80" s="1">
        <v>46188</v>
      </c>
      <c r="C80" t="s">
        <v>199</v>
      </c>
      <c r="D80" t="s">
        <v>54</v>
      </c>
      <c r="E80" t="s">
        <v>20</v>
      </c>
      <c r="F80" t="s">
        <v>21</v>
      </c>
      <c r="G80">
        <v>3</v>
      </c>
      <c r="H80">
        <v>55000</v>
      </c>
      <c r="I80">
        <v>0.1</v>
      </c>
      <c r="J80" t="s">
        <v>72</v>
      </c>
      <c r="K80">
        <v>148500</v>
      </c>
      <c r="L80">
        <v>106920</v>
      </c>
      <c r="M80">
        <v>41580</v>
      </c>
      <c r="N80">
        <v>0.28000000000000003</v>
      </c>
      <c r="O80">
        <v>6</v>
      </c>
      <c r="P80" t="s">
        <v>61</v>
      </c>
      <c r="Q80">
        <v>2026</v>
      </c>
    </row>
    <row r="81" spans="1:17" x14ac:dyDescent="0.3">
      <c r="A81" t="s">
        <v>200</v>
      </c>
      <c r="B81" s="1">
        <v>46037</v>
      </c>
      <c r="C81" t="s">
        <v>201</v>
      </c>
      <c r="D81" t="s">
        <v>32</v>
      </c>
      <c r="E81" t="s">
        <v>26</v>
      </c>
      <c r="F81" t="s">
        <v>51</v>
      </c>
      <c r="G81">
        <v>2</v>
      </c>
      <c r="H81">
        <v>5500</v>
      </c>
      <c r="I81">
        <v>0.1</v>
      </c>
      <c r="J81" t="s">
        <v>72</v>
      </c>
      <c r="K81">
        <v>9900</v>
      </c>
      <c r="L81">
        <v>6732</v>
      </c>
      <c r="M81">
        <v>3168</v>
      </c>
      <c r="N81">
        <v>0.32</v>
      </c>
      <c r="O81">
        <v>1</v>
      </c>
      <c r="P81" t="s">
        <v>92</v>
      </c>
      <c r="Q81">
        <v>2026</v>
      </c>
    </row>
    <row r="82" spans="1:17" x14ac:dyDescent="0.3">
      <c r="A82" t="s">
        <v>202</v>
      </c>
      <c r="B82" s="1">
        <v>46166</v>
      </c>
      <c r="C82" t="s">
        <v>203</v>
      </c>
      <c r="D82" t="s">
        <v>19</v>
      </c>
      <c r="E82" t="s">
        <v>33</v>
      </c>
      <c r="F82" t="s">
        <v>121</v>
      </c>
      <c r="G82">
        <v>5</v>
      </c>
      <c r="H82">
        <v>900</v>
      </c>
      <c r="I82">
        <v>0</v>
      </c>
      <c r="J82" t="s">
        <v>28</v>
      </c>
      <c r="K82">
        <v>4500</v>
      </c>
      <c r="L82">
        <v>2790</v>
      </c>
      <c r="M82">
        <v>1710</v>
      </c>
      <c r="N82">
        <v>0.38</v>
      </c>
      <c r="O82">
        <v>5</v>
      </c>
      <c r="P82" t="s">
        <v>52</v>
      </c>
      <c r="Q82">
        <v>2026</v>
      </c>
    </row>
    <row r="83" spans="1:17" x14ac:dyDescent="0.3">
      <c r="A83" t="s">
        <v>204</v>
      </c>
      <c r="B83" s="1">
        <v>46231</v>
      </c>
      <c r="C83" t="s">
        <v>197</v>
      </c>
      <c r="D83" t="s">
        <v>54</v>
      </c>
      <c r="E83" t="s">
        <v>26</v>
      </c>
      <c r="F83" t="s">
        <v>71</v>
      </c>
      <c r="G83">
        <v>2</v>
      </c>
      <c r="H83">
        <v>1800</v>
      </c>
      <c r="I83">
        <v>0.15</v>
      </c>
      <c r="J83" t="s">
        <v>22</v>
      </c>
      <c r="K83">
        <v>3060</v>
      </c>
      <c r="L83">
        <v>2080.8000000000002</v>
      </c>
      <c r="M83">
        <v>979.2</v>
      </c>
      <c r="N83">
        <v>0.32</v>
      </c>
      <c r="O83">
        <v>7</v>
      </c>
      <c r="P83" t="s">
        <v>63</v>
      </c>
      <c r="Q83">
        <v>2026</v>
      </c>
    </row>
    <row r="84" spans="1:17" x14ac:dyDescent="0.3">
      <c r="A84" t="s">
        <v>205</v>
      </c>
      <c r="B84" s="1">
        <v>46070</v>
      </c>
      <c r="C84" t="s">
        <v>142</v>
      </c>
      <c r="D84" t="s">
        <v>32</v>
      </c>
      <c r="E84" t="s">
        <v>26</v>
      </c>
      <c r="F84" t="s">
        <v>97</v>
      </c>
      <c r="G84">
        <v>4</v>
      </c>
      <c r="H84">
        <v>9000</v>
      </c>
      <c r="I84">
        <v>0.15</v>
      </c>
      <c r="J84" t="s">
        <v>41</v>
      </c>
      <c r="K84">
        <v>30600</v>
      </c>
      <c r="L84">
        <v>20808</v>
      </c>
      <c r="M84">
        <v>9792</v>
      </c>
      <c r="N84">
        <v>0.32</v>
      </c>
      <c r="O84">
        <v>2</v>
      </c>
      <c r="P84" t="s">
        <v>42</v>
      </c>
      <c r="Q84">
        <v>2026</v>
      </c>
    </row>
    <row r="85" spans="1:17" x14ac:dyDescent="0.3">
      <c r="A85" t="s">
        <v>206</v>
      </c>
      <c r="B85" s="1">
        <v>46306</v>
      </c>
      <c r="C85" t="s">
        <v>207</v>
      </c>
      <c r="D85" t="s">
        <v>32</v>
      </c>
      <c r="E85" t="s">
        <v>33</v>
      </c>
      <c r="F85" t="s">
        <v>121</v>
      </c>
      <c r="G85">
        <v>4</v>
      </c>
      <c r="H85">
        <v>900</v>
      </c>
      <c r="I85">
        <v>0.15</v>
      </c>
      <c r="J85" t="s">
        <v>41</v>
      </c>
      <c r="K85">
        <v>3060</v>
      </c>
      <c r="L85">
        <v>1897.2</v>
      </c>
      <c r="M85">
        <v>1162.8</v>
      </c>
      <c r="N85">
        <v>0.38</v>
      </c>
      <c r="O85">
        <v>10</v>
      </c>
      <c r="P85" t="s">
        <v>29</v>
      </c>
      <c r="Q85">
        <v>2026</v>
      </c>
    </row>
    <row r="86" spans="1:17" x14ac:dyDescent="0.3">
      <c r="A86" t="s">
        <v>208</v>
      </c>
      <c r="B86" s="1">
        <v>46161</v>
      </c>
      <c r="C86" t="s">
        <v>201</v>
      </c>
      <c r="D86" t="s">
        <v>19</v>
      </c>
      <c r="E86" t="s">
        <v>26</v>
      </c>
      <c r="F86" t="s">
        <v>51</v>
      </c>
      <c r="G86">
        <v>2</v>
      </c>
      <c r="H86">
        <v>5500</v>
      </c>
      <c r="I86">
        <v>0</v>
      </c>
      <c r="J86" t="s">
        <v>28</v>
      </c>
      <c r="K86">
        <v>11000</v>
      </c>
      <c r="L86">
        <v>7480</v>
      </c>
      <c r="M86">
        <v>3520</v>
      </c>
      <c r="N86">
        <v>0.32</v>
      </c>
      <c r="O86">
        <v>5</v>
      </c>
      <c r="P86" t="s">
        <v>52</v>
      </c>
      <c r="Q86">
        <v>2026</v>
      </c>
    </row>
    <row r="87" spans="1:17" x14ac:dyDescent="0.3">
      <c r="A87" t="s">
        <v>209</v>
      </c>
      <c r="B87" s="1">
        <v>46121</v>
      </c>
      <c r="C87" t="s">
        <v>89</v>
      </c>
      <c r="D87" t="s">
        <v>32</v>
      </c>
      <c r="E87" t="s">
        <v>20</v>
      </c>
      <c r="F87" t="s">
        <v>45</v>
      </c>
      <c r="G87">
        <v>3</v>
      </c>
      <c r="H87">
        <v>6000</v>
      </c>
      <c r="I87">
        <v>0.15</v>
      </c>
      <c r="J87" t="s">
        <v>22</v>
      </c>
      <c r="K87">
        <v>15300</v>
      </c>
      <c r="L87">
        <v>11016</v>
      </c>
      <c r="M87">
        <v>4284</v>
      </c>
      <c r="N87">
        <v>0.28000000000000003</v>
      </c>
      <c r="O87">
        <v>4</v>
      </c>
      <c r="P87" t="s">
        <v>104</v>
      </c>
      <c r="Q87">
        <v>2026</v>
      </c>
    </row>
    <row r="88" spans="1:17" x14ac:dyDescent="0.3">
      <c r="A88" t="s">
        <v>210</v>
      </c>
      <c r="B88" s="1">
        <v>46122</v>
      </c>
      <c r="C88" t="s">
        <v>211</v>
      </c>
      <c r="D88" t="s">
        <v>58</v>
      </c>
      <c r="E88" t="s">
        <v>26</v>
      </c>
      <c r="F88" t="s">
        <v>97</v>
      </c>
      <c r="G88">
        <v>3</v>
      </c>
      <c r="H88">
        <v>9000</v>
      </c>
      <c r="I88">
        <v>0.05</v>
      </c>
      <c r="J88" t="s">
        <v>72</v>
      </c>
      <c r="K88">
        <v>25650</v>
      </c>
      <c r="L88">
        <v>17442</v>
      </c>
      <c r="M88">
        <v>8208</v>
      </c>
      <c r="N88">
        <v>0.32</v>
      </c>
      <c r="O88">
        <v>4</v>
      </c>
      <c r="P88" t="s">
        <v>104</v>
      </c>
      <c r="Q88">
        <v>2026</v>
      </c>
    </row>
    <row r="89" spans="1:17" x14ac:dyDescent="0.3">
      <c r="A89" t="s">
        <v>212</v>
      </c>
      <c r="B89" s="1">
        <v>46046</v>
      </c>
      <c r="C89" t="s">
        <v>167</v>
      </c>
      <c r="D89" t="s">
        <v>19</v>
      </c>
      <c r="E89" t="s">
        <v>20</v>
      </c>
      <c r="F89" t="s">
        <v>103</v>
      </c>
      <c r="G89">
        <v>3</v>
      </c>
      <c r="H89">
        <v>22000</v>
      </c>
      <c r="I89">
        <v>0.15</v>
      </c>
      <c r="J89" t="s">
        <v>22</v>
      </c>
      <c r="K89">
        <v>56100</v>
      </c>
      <c r="L89">
        <v>40392</v>
      </c>
      <c r="M89">
        <v>15708</v>
      </c>
      <c r="N89">
        <v>0.28000000000000003</v>
      </c>
      <c r="O89">
        <v>1</v>
      </c>
      <c r="P89" t="s">
        <v>92</v>
      </c>
      <c r="Q89">
        <v>2026</v>
      </c>
    </row>
    <row r="90" spans="1:17" x14ac:dyDescent="0.3">
      <c r="A90" t="s">
        <v>213</v>
      </c>
      <c r="B90" s="1">
        <v>46316</v>
      </c>
      <c r="C90" t="s">
        <v>214</v>
      </c>
      <c r="D90" t="s">
        <v>19</v>
      </c>
      <c r="E90" t="s">
        <v>26</v>
      </c>
      <c r="F90" t="s">
        <v>76</v>
      </c>
      <c r="G90">
        <v>4</v>
      </c>
      <c r="H90">
        <v>24000</v>
      </c>
      <c r="I90">
        <v>0.1</v>
      </c>
      <c r="J90" t="s">
        <v>72</v>
      </c>
      <c r="K90">
        <v>86400</v>
      </c>
      <c r="L90">
        <v>58752</v>
      </c>
      <c r="M90">
        <v>27648</v>
      </c>
      <c r="N90">
        <v>0.32</v>
      </c>
      <c r="O90">
        <v>10</v>
      </c>
      <c r="P90" t="s">
        <v>29</v>
      </c>
      <c r="Q90">
        <v>2026</v>
      </c>
    </row>
    <row r="91" spans="1:17" x14ac:dyDescent="0.3">
      <c r="A91" t="s">
        <v>215</v>
      </c>
      <c r="B91" s="1">
        <v>46267</v>
      </c>
      <c r="C91" t="s">
        <v>216</v>
      </c>
      <c r="D91" t="s">
        <v>19</v>
      </c>
      <c r="E91" t="s">
        <v>20</v>
      </c>
      <c r="F91" t="s">
        <v>21</v>
      </c>
      <c r="G91">
        <v>4</v>
      </c>
      <c r="H91">
        <v>55000</v>
      </c>
      <c r="I91">
        <v>0.1</v>
      </c>
      <c r="J91" t="s">
        <v>28</v>
      </c>
      <c r="K91">
        <v>198000</v>
      </c>
      <c r="L91">
        <v>142560</v>
      </c>
      <c r="M91">
        <v>55440</v>
      </c>
      <c r="N91">
        <v>0.28000000000000003</v>
      </c>
      <c r="O91">
        <v>9</v>
      </c>
      <c r="P91" t="s">
        <v>73</v>
      </c>
      <c r="Q91">
        <v>2026</v>
      </c>
    </row>
    <row r="92" spans="1:17" x14ac:dyDescent="0.3">
      <c r="A92" t="s">
        <v>217</v>
      </c>
      <c r="B92" s="1">
        <v>46099</v>
      </c>
      <c r="C92" t="s">
        <v>70</v>
      </c>
      <c r="D92" t="s">
        <v>54</v>
      </c>
      <c r="E92" t="s">
        <v>33</v>
      </c>
      <c r="F92" t="s">
        <v>121</v>
      </c>
      <c r="G92">
        <v>1</v>
      </c>
      <c r="H92">
        <v>900</v>
      </c>
      <c r="I92">
        <v>0.05</v>
      </c>
      <c r="J92" t="s">
        <v>28</v>
      </c>
      <c r="K92">
        <v>855</v>
      </c>
      <c r="L92">
        <v>530.1</v>
      </c>
      <c r="M92">
        <v>324.89999999999998</v>
      </c>
      <c r="N92">
        <v>0.37999999999999989</v>
      </c>
      <c r="O92">
        <v>3</v>
      </c>
      <c r="P92" t="s">
        <v>38</v>
      </c>
      <c r="Q92">
        <v>2026</v>
      </c>
    </row>
    <row r="93" spans="1:17" x14ac:dyDescent="0.3">
      <c r="A93" t="s">
        <v>218</v>
      </c>
      <c r="B93" s="1">
        <v>46290</v>
      </c>
      <c r="C93" t="s">
        <v>192</v>
      </c>
      <c r="D93" t="s">
        <v>32</v>
      </c>
      <c r="E93" t="s">
        <v>26</v>
      </c>
      <c r="F93" t="s">
        <v>76</v>
      </c>
      <c r="G93">
        <v>4</v>
      </c>
      <c r="H93">
        <v>24000</v>
      </c>
      <c r="I93">
        <v>0.05</v>
      </c>
      <c r="J93" t="s">
        <v>22</v>
      </c>
      <c r="K93">
        <v>91200</v>
      </c>
      <c r="L93">
        <v>62016</v>
      </c>
      <c r="M93">
        <v>29184</v>
      </c>
      <c r="N93">
        <v>0.32</v>
      </c>
      <c r="O93">
        <v>9</v>
      </c>
      <c r="P93" t="s">
        <v>73</v>
      </c>
      <c r="Q93">
        <v>2026</v>
      </c>
    </row>
    <row r="94" spans="1:17" x14ac:dyDescent="0.3">
      <c r="A94" t="s">
        <v>219</v>
      </c>
      <c r="B94" s="1">
        <v>46335</v>
      </c>
      <c r="C94" t="s">
        <v>151</v>
      </c>
      <c r="D94" t="s">
        <v>19</v>
      </c>
      <c r="E94" t="s">
        <v>33</v>
      </c>
      <c r="F94" t="s">
        <v>83</v>
      </c>
      <c r="G94">
        <v>2</v>
      </c>
      <c r="H94">
        <v>2500</v>
      </c>
      <c r="I94">
        <v>0.15</v>
      </c>
      <c r="J94" t="s">
        <v>28</v>
      </c>
      <c r="K94">
        <v>4250</v>
      </c>
      <c r="L94">
        <v>2635</v>
      </c>
      <c r="M94">
        <v>1615</v>
      </c>
      <c r="N94">
        <v>0.38</v>
      </c>
      <c r="O94">
        <v>11</v>
      </c>
      <c r="P94" t="s">
        <v>23</v>
      </c>
      <c r="Q94">
        <v>2026</v>
      </c>
    </row>
    <row r="95" spans="1:17" x14ac:dyDescent="0.3">
      <c r="A95" t="s">
        <v>220</v>
      </c>
      <c r="B95" s="1">
        <v>46145</v>
      </c>
      <c r="C95" t="s">
        <v>221</v>
      </c>
      <c r="D95" t="s">
        <v>54</v>
      </c>
      <c r="E95" t="s">
        <v>20</v>
      </c>
      <c r="F95" t="s">
        <v>103</v>
      </c>
      <c r="G95">
        <v>1</v>
      </c>
      <c r="H95">
        <v>22000</v>
      </c>
      <c r="I95">
        <v>0.05</v>
      </c>
      <c r="J95" t="s">
        <v>41</v>
      </c>
      <c r="K95">
        <v>20900</v>
      </c>
      <c r="L95">
        <v>15048</v>
      </c>
      <c r="M95">
        <v>5852</v>
      </c>
      <c r="N95">
        <v>0.28000000000000003</v>
      </c>
      <c r="O95">
        <v>5</v>
      </c>
      <c r="P95" t="s">
        <v>52</v>
      </c>
      <c r="Q95">
        <v>2026</v>
      </c>
    </row>
    <row r="96" spans="1:17" x14ac:dyDescent="0.3">
      <c r="A96" t="s">
        <v>222</v>
      </c>
      <c r="B96" s="1">
        <v>46172</v>
      </c>
      <c r="C96" t="s">
        <v>223</v>
      </c>
      <c r="D96" t="s">
        <v>19</v>
      </c>
      <c r="E96" t="s">
        <v>20</v>
      </c>
      <c r="F96" t="s">
        <v>68</v>
      </c>
      <c r="G96">
        <v>3</v>
      </c>
      <c r="H96">
        <v>28000</v>
      </c>
      <c r="I96">
        <v>0.15</v>
      </c>
      <c r="J96" t="s">
        <v>28</v>
      </c>
      <c r="K96">
        <v>71400</v>
      </c>
      <c r="L96">
        <v>51408</v>
      </c>
      <c r="M96">
        <v>19992</v>
      </c>
      <c r="N96">
        <v>0.28000000000000003</v>
      </c>
      <c r="O96">
        <v>5</v>
      </c>
      <c r="P96" t="s">
        <v>52</v>
      </c>
      <c r="Q96">
        <v>2026</v>
      </c>
    </row>
    <row r="97" spans="1:17" x14ac:dyDescent="0.3">
      <c r="A97" t="s">
        <v>224</v>
      </c>
      <c r="B97" s="1">
        <v>46158</v>
      </c>
      <c r="C97" t="s">
        <v>70</v>
      </c>
      <c r="D97" t="s">
        <v>58</v>
      </c>
      <c r="E97" t="s">
        <v>33</v>
      </c>
      <c r="F97" t="s">
        <v>34</v>
      </c>
      <c r="G97">
        <v>2</v>
      </c>
      <c r="H97">
        <v>2200</v>
      </c>
      <c r="I97">
        <v>0.1</v>
      </c>
      <c r="J97" t="s">
        <v>28</v>
      </c>
      <c r="K97">
        <v>3960</v>
      </c>
      <c r="L97">
        <v>2455.1999999999998</v>
      </c>
      <c r="M97">
        <v>1504.8</v>
      </c>
      <c r="N97">
        <v>0.38</v>
      </c>
      <c r="O97">
        <v>5</v>
      </c>
      <c r="P97" t="s">
        <v>52</v>
      </c>
      <c r="Q97">
        <v>2026</v>
      </c>
    </row>
    <row r="98" spans="1:17" x14ac:dyDescent="0.3">
      <c r="A98" t="s">
        <v>225</v>
      </c>
      <c r="B98" s="1">
        <v>46159</v>
      </c>
      <c r="C98" t="s">
        <v>44</v>
      </c>
      <c r="D98" t="s">
        <v>32</v>
      </c>
      <c r="E98" t="s">
        <v>20</v>
      </c>
      <c r="F98" t="s">
        <v>21</v>
      </c>
      <c r="G98">
        <v>1</v>
      </c>
      <c r="H98">
        <v>55000</v>
      </c>
      <c r="I98">
        <v>0.05</v>
      </c>
      <c r="J98" t="s">
        <v>41</v>
      </c>
      <c r="K98">
        <v>52250</v>
      </c>
      <c r="L98">
        <v>37620</v>
      </c>
      <c r="M98">
        <v>14630</v>
      </c>
      <c r="N98">
        <v>0.28000000000000003</v>
      </c>
      <c r="O98">
        <v>5</v>
      </c>
      <c r="P98" t="s">
        <v>52</v>
      </c>
      <c r="Q98">
        <v>2026</v>
      </c>
    </row>
    <row r="99" spans="1:17" x14ac:dyDescent="0.3">
      <c r="A99" t="s">
        <v>226</v>
      </c>
      <c r="B99" s="1">
        <v>46086</v>
      </c>
      <c r="C99" t="s">
        <v>227</v>
      </c>
      <c r="D99" t="s">
        <v>54</v>
      </c>
      <c r="E99" t="s">
        <v>26</v>
      </c>
      <c r="F99" t="s">
        <v>51</v>
      </c>
      <c r="G99">
        <v>4</v>
      </c>
      <c r="H99">
        <v>5500</v>
      </c>
      <c r="I99">
        <v>0.05</v>
      </c>
      <c r="J99" t="s">
        <v>41</v>
      </c>
      <c r="K99">
        <v>20900</v>
      </c>
      <c r="L99">
        <v>14212</v>
      </c>
      <c r="M99">
        <v>6688</v>
      </c>
      <c r="N99">
        <v>0.32</v>
      </c>
      <c r="O99">
        <v>3</v>
      </c>
      <c r="P99" t="s">
        <v>38</v>
      </c>
      <c r="Q99">
        <v>2026</v>
      </c>
    </row>
    <row r="100" spans="1:17" x14ac:dyDescent="0.3">
      <c r="A100" t="s">
        <v>228</v>
      </c>
      <c r="B100" s="1">
        <v>46064</v>
      </c>
      <c r="C100" t="s">
        <v>229</v>
      </c>
      <c r="D100" t="s">
        <v>32</v>
      </c>
      <c r="E100" t="s">
        <v>33</v>
      </c>
      <c r="F100" t="s">
        <v>83</v>
      </c>
      <c r="G100">
        <v>4</v>
      </c>
      <c r="H100">
        <v>2500</v>
      </c>
      <c r="I100">
        <v>0.15</v>
      </c>
      <c r="J100" t="s">
        <v>22</v>
      </c>
      <c r="K100">
        <v>8500</v>
      </c>
      <c r="L100">
        <v>5270</v>
      </c>
      <c r="M100">
        <v>3230</v>
      </c>
      <c r="N100">
        <v>0.38</v>
      </c>
      <c r="O100">
        <v>2</v>
      </c>
      <c r="P100" t="s">
        <v>42</v>
      </c>
      <c r="Q100">
        <v>2026</v>
      </c>
    </row>
    <row r="101" spans="1:17" x14ac:dyDescent="0.3">
      <c r="A101" t="s">
        <v>230</v>
      </c>
      <c r="B101" s="1">
        <v>46069</v>
      </c>
      <c r="C101" t="s">
        <v>231</v>
      </c>
      <c r="D101" t="s">
        <v>19</v>
      </c>
      <c r="E101" t="s">
        <v>20</v>
      </c>
      <c r="F101" t="s">
        <v>103</v>
      </c>
      <c r="G101">
        <v>5</v>
      </c>
      <c r="H101">
        <v>22000</v>
      </c>
      <c r="I101">
        <v>0</v>
      </c>
      <c r="J101" t="s">
        <v>28</v>
      </c>
      <c r="K101">
        <v>110000</v>
      </c>
      <c r="L101">
        <v>79200</v>
      </c>
      <c r="M101">
        <v>30800</v>
      </c>
      <c r="N101">
        <v>0.28000000000000003</v>
      </c>
      <c r="O101">
        <v>2</v>
      </c>
      <c r="P101" t="s">
        <v>42</v>
      </c>
      <c r="Q101">
        <v>2026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1"/>
  <sheetViews>
    <sheetView workbookViewId="0">
      <pane ySplit="1" topLeftCell="A2" activePane="bottomLeft" state="frozen"/>
      <selection pane="bottomLeft" activeCell="D20" sqref="D20"/>
    </sheetView>
  </sheetViews>
  <sheetFormatPr defaultRowHeight="14.4" x14ac:dyDescent="0.3"/>
  <cols>
    <col min="1" max="1" width="12" customWidth="1"/>
    <col min="2" max="2" width="21" customWidth="1"/>
    <col min="3" max="3" width="17" customWidth="1"/>
    <col min="4" max="4" width="12" customWidth="1"/>
    <col min="5" max="5" width="13" customWidth="1"/>
    <col min="6" max="6" width="14" customWidth="1"/>
    <col min="7" max="9" width="12" customWidth="1"/>
    <col min="10" max="10" width="16.44140625" customWidth="1"/>
    <col min="11" max="13" width="12" customWidth="1"/>
    <col min="14" max="14" width="21" customWidth="1"/>
    <col min="15" max="15" width="12" customWidth="1"/>
    <col min="16" max="16" width="14.6640625" customWidth="1"/>
    <col min="17" max="17" width="12" customWidth="1"/>
  </cols>
  <sheetData>
    <row r="1" spans="1:1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
      <c r="A2" t="s">
        <v>17</v>
      </c>
      <c r="B2" s="1">
        <v>46350</v>
      </c>
      <c r="C2" t="s">
        <v>18</v>
      </c>
      <c r="D2" t="s">
        <v>19</v>
      </c>
      <c r="E2" t="s">
        <v>20</v>
      </c>
      <c r="F2" t="s">
        <v>21</v>
      </c>
      <c r="G2">
        <v>3</v>
      </c>
      <c r="H2">
        <v>55000</v>
      </c>
      <c r="I2">
        <v>0.05</v>
      </c>
      <c r="J2" t="s">
        <v>22</v>
      </c>
      <c r="K2">
        <v>156750</v>
      </c>
      <c r="L2">
        <v>112860</v>
      </c>
      <c r="M2">
        <v>43890</v>
      </c>
      <c r="N2">
        <v>0.28000000000000003</v>
      </c>
      <c r="O2">
        <v>11</v>
      </c>
      <c r="P2" t="s">
        <v>23</v>
      </c>
      <c r="Q2">
        <v>2026</v>
      </c>
    </row>
    <row r="3" spans="1:17" x14ac:dyDescent="0.3">
      <c r="A3" t="s">
        <v>24</v>
      </c>
      <c r="B3" s="1">
        <v>46325</v>
      </c>
      <c r="C3" t="s">
        <v>25</v>
      </c>
      <c r="D3" t="s">
        <v>19</v>
      </c>
      <c r="E3" t="s">
        <v>26</v>
      </c>
      <c r="F3" t="s">
        <v>27</v>
      </c>
      <c r="G3">
        <v>1</v>
      </c>
      <c r="H3">
        <v>7000</v>
      </c>
      <c r="I3">
        <v>0</v>
      </c>
      <c r="J3" t="s">
        <v>28</v>
      </c>
      <c r="K3">
        <v>7000</v>
      </c>
      <c r="L3">
        <v>4760</v>
      </c>
      <c r="M3">
        <v>2240</v>
      </c>
      <c r="N3">
        <v>0.32</v>
      </c>
      <c r="O3">
        <v>10</v>
      </c>
      <c r="P3" t="s">
        <v>29</v>
      </c>
      <c r="Q3">
        <v>2026</v>
      </c>
    </row>
    <row r="4" spans="1:17" x14ac:dyDescent="0.3">
      <c r="A4" t="s">
        <v>30</v>
      </c>
      <c r="B4" s="1">
        <v>46355</v>
      </c>
      <c r="C4" t="s">
        <v>31</v>
      </c>
      <c r="D4" t="s">
        <v>32</v>
      </c>
      <c r="E4" t="s">
        <v>33</v>
      </c>
      <c r="F4" t="s">
        <v>34</v>
      </c>
      <c r="G4">
        <v>4</v>
      </c>
      <c r="H4">
        <v>2200</v>
      </c>
      <c r="I4">
        <v>0.05</v>
      </c>
      <c r="J4" t="s">
        <v>22</v>
      </c>
      <c r="K4">
        <v>8360</v>
      </c>
      <c r="L4">
        <v>5183.2</v>
      </c>
      <c r="M4">
        <v>3176.8</v>
      </c>
      <c r="N4">
        <v>0.38</v>
      </c>
      <c r="O4">
        <v>11</v>
      </c>
      <c r="P4" t="s">
        <v>23</v>
      </c>
      <c r="Q4">
        <v>2026</v>
      </c>
    </row>
    <row r="5" spans="1:17" x14ac:dyDescent="0.3">
      <c r="A5" t="s">
        <v>35</v>
      </c>
      <c r="B5" s="1">
        <v>46104</v>
      </c>
      <c r="C5" t="s">
        <v>36</v>
      </c>
      <c r="D5" t="s">
        <v>32</v>
      </c>
      <c r="E5" t="s">
        <v>33</v>
      </c>
      <c r="F5" t="s">
        <v>37</v>
      </c>
      <c r="G5">
        <v>3</v>
      </c>
      <c r="H5">
        <v>3200</v>
      </c>
      <c r="I5">
        <v>0.05</v>
      </c>
      <c r="J5" t="s">
        <v>22</v>
      </c>
      <c r="K5">
        <v>9120</v>
      </c>
      <c r="L5">
        <v>5654.4</v>
      </c>
      <c r="M5">
        <v>3465.6</v>
      </c>
      <c r="N5">
        <v>0.38</v>
      </c>
      <c r="O5">
        <v>3</v>
      </c>
      <c r="P5" t="s">
        <v>38</v>
      </c>
      <c r="Q5">
        <v>2026</v>
      </c>
    </row>
    <row r="6" spans="1:17" x14ac:dyDescent="0.3">
      <c r="A6" t="s">
        <v>39</v>
      </c>
      <c r="B6" s="1">
        <v>46070</v>
      </c>
      <c r="C6" t="s">
        <v>40</v>
      </c>
      <c r="D6" t="s">
        <v>19</v>
      </c>
      <c r="E6" t="s">
        <v>26</v>
      </c>
      <c r="F6" t="s">
        <v>27</v>
      </c>
      <c r="G6">
        <v>3</v>
      </c>
      <c r="H6">
        <v>7000</v>
      </c>
      <c r="I6">
        <v>0.05</v>
      </c>
      <c r="J6" t="s">
        <v>41</v>
      </c>
      <c r="K6">
        <v>19950</v>
      </c>
      <c r="L6">
        <v>13566</v>
      </c>
      <c r="M6">
        <v>6384</v>
      </c>
      <c r="N6">
        <v>0.32</v>
      </c>
      <c r="O6">
        <v>2</v>
      </c>
      <c r="P6" t="s">
        <v>42</v>
      </c>
      <c r="Q6">
        <v>2026</v>
      </c>
    </row>
    <row r="7" spans="1:17" x14ac:dyDescent="0.3">
      <c r="A7" t="s">
        <v>43</v>
      </c>
      <c r="B7" s="1">
        <v>46297</v>
      </c>
      <c r="C7" t="s">
        <v>44</v>
      </c>
      <c r="D7" t="s">
        <v>32</v>
      </c>
      <c r="E7" t="s">
        <v>20</v>
      </c>
      <c r="F7" t="s">
        <v>45</v>
      </c>
      <c r="G7">
        <v>1</v>
      </c>
      <c r="H7">
        <v>6000</v>
      </c>
      <c r="I7">
        <v>0.1</v>
      </c>
      <c r="J7" t="s">
        <v>28</v>
      </c>
      <c r="K7">
        <v>5400</v>
      </c>
      <c r="L7">
        <v>3888</v>
      </c>
      <c r="M7">
        <v>1512</v>
      </c>
      <c r="N7">
        <v>0.28000000000000003</v>
      </c>
      <c r="O7">
        <v>10</v>
      </c>
      <c r="P7" t="s">
        <v>29</v>
      </c>
      <c r="Q7">
        <v>2026</v>
      </c>
    </row>
    <row r="8" spans="1:17" x14ac:dyDescent="0.3">
      <c r="A8" t="s">
        <v>46</v>
      </c>
      <c r="B8" s="1">
        <v>46383</v>
      </c>
      <c r="C8" t="s">
        <v>47</v>
      </c>
      <c r="D8" t="s">
        <v>19</v>
      </c>
      <c r="E8" t="s">
        <v>20</v>
      </c>
      <c r="F8" t="s">
        <v>21</v>
      </c>
      <c r="G8">
        <v>2</v>
      </c>
      <c r="H8">
        <v>55000</v>
      </c>
      <c r="I8">
        <v>0.05</v>
      </c>
      <c r="J8" t="s">
        <v>41</v>
      </c>
      <c r="K8">
        <v>104500</v>
      </c>
      <c r="L8">
        <v>75240</v>
      </c>
      <c r="M8">
        <v>29260</v>
      </c>
      <c r="N8">
        <v>0.28000000000000003</v>
      </c>
      <c r="O8">
        <v>12</v>
      </c>
      <c r="P8" t="s">
        <v>48</v>
      </c>
      <c r="Q8">
        <v>2026</v>
      </c>
    </row>
    <row r="9" spans="1:17" x14ac:dyDescent="0.3">
      <c r="A9" t="s">
        <v>49</v>
      </c>
      <c r="B9" s="1">
        <v>46165</v>
      </c>
      <c r="C9" t="s">
        <v>50</v>
      </c>
      <c r="D9" t="s">
        <v>32</v>
      </c>
      <c r="E9" t="s">
        <v>26</v>
      </c>
      <c r="F9" t="s">
        <v>51</v>
      </c>
      <c r="G9">
        <v>2</v>
      </c>
      <c r="H9">
        <v>5500</v>
      </c>
      <c r="I9">
        <v>0.05</v>
      </c>
      <c r="J9" t="s">
        <v>22</v>
      </c>
      <c r="K9">
        <v>10450</v>
      </c>
      <c r="L9">
        <v>7106</v>
      </c>
      <c r="M9">
        <v>3344</v>
      </c>
      <c r="N9">
        <v>0.32</v>
      </c>
      <c r="O9">
        <v>5</v>
      </c>
      <c r="P9" t="s">
        <v>52</v>
      </c>
      <c r="Q9">
        <v>2026</v>
      </c>
    </row>
    <row r="10" spans="1:17" x14ac:dyDescent="0.3">
      <c r="A10" t="s">
        <v>53</v>
      </c>
      <c r="B10" s="1">
        <v>46334</v>
      </c>
      <c r="C10" t="s">
        <v>18</v>
      </c>
      <c r="D10" t="s">
        <v>54</v>
      </c>
      <c r="E10" t="s">
        <v>33</v>
      </c>
      <c r="F10" t="s">
        <v>55</v>
      </c>
      <c r="G10">
        <v>5</v>
      </c>
      <c r="H10">
        <v>1800</v>
      </c>
      <c r="I10">
        <v>0.15</v>
      </c>
      <c r="J10" t="s">
        <v>41</v>
      </c>
      <c r="K10">
        <v>7650</v>
      </c>
      <c r="L10">
        <v>4743</v>
      </c>
      <c r="M10">
        <v>2907</v>
      </c>
      <c r="N10">
        <v>0.38</v>
      </c>
      <c r="O10">
        <v>11</v>
      </c>
      <c r="P10" t="s">
        <v>23</v>
      </c>
      <c r="Q10">
        <v>2026</v>
      </c>
    </row>
    <row r="11" spans="1:17" x14ac:dyDescent="0.3">
      <c r="A11" t="s">
        <v>56</v>
      </c>
      <c r="B11" s="1">
        <v>46161</v>
      </c>
      <c r="C11" t="s">
        <v>57</v>
      </c>
      <c r="D11" t="s">
        <v>58</v>
      </c>
      <c r="E11" t="s">
        <v>33</v>
      </c>
      <c r="F11" t="s">
        <v>34</v>
      </c>
      <c r="G11">
        <v>2</v>
      </c>
      <c r="H11">
        <v>2200</v>
      </c>
      <c r="I11">
        <v>0.15</v>
      </c>
      <c r="J11" t="s">
        <v>22</v>
      </c>
      <c r="K11">
        <v>3740</v>
      </c>
      <c r="L11">
        <v>2318.8000000000002</v>
      </c>
      <c r="M11">
        <v>1421.2</v>
      </c>
      <c r="N11">
        <v>0.38</v>
      </c>
      <c r="O11">
        <v>5</v>
      </c>
      <c r="P11" t="s">
        <v>52</v>
      </c>
      <c r="Q11">
        <v>2026</v>
      </c>
    </row>
    <row r="12" spans="1:17" x14ac:dyDescent="0.3">
      <c r="A12" t="s">
        <v>59</v>
      </c>
      <c r="B12" s="1">
        <v>46184</v>
      </c>
      <c r="C12" t="s">
        <v>60</v>
      </c>
      <c r="D12" t="s">
        <v>58</v>
      </c>
      <c r="E12" t="s">
        <v>26</v>
      </c>
      <c r="F12" t="s">
        <v>51</v>
      </c>
      <c r="G12">
        <v>1</v>
      </c>
      <c r="H12">
        <v>5500</v>
      </c>
      <c r="I12">
        <v>0.05</v>
      </c>
      <c r="J12" t="s">
        <v>41</v>
      </c>
      <c r="K12">
        <v>5225</v>
      </c>
      <c r="L12">
        <v>3553</v>
      </c>
      <c r="M12">
        <v>1672</v>
      </c>
      <c r="N12">
        <v>0.32</v>
      </c>
      <c r="O12">
        <v>6</v>
      </c>
      <c r="P12" t="s">
        <v>61</v>
      </c>
      <c r="Q12">
        <v>2026</v>
      </c>
    </row>
    <row r="13" spans="1:17" x14ac:dyDescent="0.3">
      <c r="A13" t="s">
        <v>62</v>
      </c>
      <c r="B13" s="1">
        <v>46225</v>
      </c>
      <c r="C13" t="s">
        <v>36</v>
      </c>
      <c r="D13" t="s">
        <v>32</v>
      </c>
      <c r="E13" t="s">
        <v>33</v>
      </c>
      <c r="F13" t="s">
        <v>37</v>
      </c>
      <c r="G13">
        <v>2</v>
      </c>
      <c r="H13">
        <v>3200</v>
      </c>
      <c r="I13">
        <v>0.05</v>
      </c>
      <c r="J13" t="s">
        <v>41</v>
      </c>
      <c r="K13">
        <v>6080</v>
      </c>
      <c r="L13">
        <v>3769.6</v>
      </c>
      <c r="M13">
        <v>2310.4</v>
      </c>
      <c r="N13">
        <v>0.38</v>
      </c>
      <c r="O13">
        <v>7</v>
      </c>
      <c r="P13" t="s">
        <v>63</v>
      </c>
      <c r="Q13">
        <v>2026</v>
      </c>
    </row>
    <row r="14" spans="1:17" x14ac:dyDescent="0.3">
      <c r="A14" t="s">
        <v>64</v>
      </c>
      <c r="B14" s="1">
        <v>46321</v>
      </c>
      <c r="C14" t="s">
        <v>65</v>
      </c>
      <c r="D14" t="s">
        <v>19</v>
      </c>
      <c r="E14" t="s">
        <v>26</v>
      </c>
      <c r="F14" t="s">
        <v>51</v>
      </c>
      <c r="G14">
        <v>2</v>
      </c>
      <c r="H14">
        <v>5500</v>
      </c>
      <c r="I14">
        <v>0.05</v>
      </c>
      <c r="J14" t="s">
        <v>22</v>
      </c>
      <c r="K14">
        <v>10450</v>
      </c>
      <c r="L14">
        <v>7106</v>
      </c>
      <c r="M14">
        <v>3344</v>
      </c>
      <c r="N14">
        <v>0.32</v>
      </c>
      <c r="O14">
        <v>10</v>
      </c>
      <c r="P14" t="s">
        <v>29</v>
      </c>
      <c r="Q14">
        <v>2026</v>
      </c>
    </row>
    <row r="15" spans="1:17" x14ac:dyDescent="0.3">
      <c r="A15" t="s">
        <v>66</v>
      </c>
      <c r="B15" s="1">
        <v>46079</v>
      </c>
      <c r="C15" t="s">
        <v>67</v>
      </c>
      <c r="D15" t="s">
        <v>54</v>
      </c>
      <c r="E15" t="s">
        <v>20</v>
      </c>
      <c r="F15" t="s">
        <v>68</v>
      </c>
      <c r="G15">
        <v>4</v>
      </c>
      <c r="H15">
        <v>28000</v>
      </c>
      <c r="I15">
        <v>0.1</v>
      </c>
      <c r="J15" t="s">
        <v>41</v>
      </c>
      <c r="K15">
        <v>100800</v>
      </c>
      <c r="L15">
        <v>72576</v>
      </c>
      <c r="M15">
        <v>28224</v>
      </c>
      <c r="N15">
        <v>0.28000000000000003</v>
      </c>
      <c r="O15">
        <v>2</v>
      </c>
      <c r="P15" t="s">
        <v>42</v>
      </c>
      <c r="Q15">
        <v>2026</v>
      </c>
    </row>
    <row r="16" spans="1:17" x14ac:dyDescent="0.3">
      <c r="A16" t="s">
        <v>69</v>
      </c>
      <c r="B16" s="1">
        <v>46293</v>
      </c>
      <c r="C16" t="s">
        <v>70</v>
      </c>
      <c r="D16" t="s">
        <v>32</v>
      </c>
      <c r="E16" t="s">
        <v>26</v>
      </c>
      <c r="F16" t="s">
        <v>71</v>
      </c>
      <c r="G16">
        <v>1</v>
      </c>
      <c r="H16">
        <v>1800</v>
      </c>
      <c r="I16">
        <v>0.15</v>
      </c>
      <c r="J16" t="s">
        <v>72</v>
      </c>
      <c r="K16">
        <v>1530</v>
      </c>
      <c r="L16">
        <v>1040.4000000000001</v>
      </c>
      <c r="M16">
        <v>489.6</v>
      </c>
      <c r="N16">
        <v>0.32</v>
      </c>
      <c r="O16">
        <v>9</v>
      </c>
      <c r="P16" t="s">
        <v>73</v>
      </c>
      <c r="Q16">
        <v>2026</v>
      </c>
    </row>
    <row r="17" spans="1:17" x14ac:dyDescent="0.3">
      <c r="A17" t="s">
        <v>74</v>
      </c>
      <c r="B17" s="1">
        <v>46080</v>
      </c>
      <c r="C17" t="s">
        <v>75</v>
      </c>
      <c r="D17" t="s">
        <v>58</v>
      </c>
      <c r="E17" t="s">
        <v>26</v>
      </c>
      <c r="F17" t="s">
        <v>76</v>
      </c>
      <c r="G17">
        <v>2</v>
      </c>
      <c r="H17">
        <v>24000</v>
      </c>
      <c r="I17">
        <v>0.1</v>
      </c>
      <c r="J17" t="s">
        <v>22</v>
      </c>
      <c r="K17">
        <v>43200</v>
      </c>
      <c r="L17">
        <v>29376</v>
      </c>
      <c r="M17">
        <v>13824</v>
      </c>
      <c r="N17">
        <v>0.32</v>
      </c>
      <c r="O17">
        <v>2</v>
      </c>
      <c r="P17" t="s">
        <v>42</v>
      </c>
      <c r="Q17">
        <v>2026</v>
      </c>
    </row>
    <row r="18" spans="1:17" x14ac:dyDescent="0.3">
      <c r="A18" t="s">
        <v>77</v>
      </c>
      <c r="B18" s="1">
        <v>46343</v>
      </c>
      <c r="C18" t="s">
        <v>78</v>
      </c>
      <c r="D18" t="s">
        <v>58</v>
      </c>
      <c r="E18" t="s">
        <v>26</v>
      </c>
      <c r="F18" t="s">
        <v>71</v>
      </c>
      <c r="G18">
        <v>5</v>
      </c>
      <c r="H18">
        <v>1800</v>
      </c>
      <c r="I18">
        <v>0.05</v>
      </c>
      <c r="J18" t="s">
        <v>22</v>
      </c>
      <c r="K18">
        <v>8550</v>
      </c>
      <c r="L18">
        <v>5814</v>
      </c>
      <c r="M18">
        <v>2736</v>
      </c>
      <c r="N18">
        <v>0.32</v>
      </c>
      <c r="O18">
        <v>11</v>
      </c>
      <c r="P18" t="s">
        <v>23</v>
      </c>
      <c r="Q18">
        <v>2026</v>
      </c>
    </row>
    <row r="19" spans="1:17" x14ac:dyDescent="0.3">
      <c r="A19" t="s">
        <v>79</v>
      </c>
      <c r="B19" s="1">
        <v>46329</v>
      </c>
      <c r="C19" t="s">
        <v>80</v>
      </c>
      <c r="D19" t="s">
        <v>58</v>
      </c>
      <c r="E19" t="s">
        <v>26</v>
      </c>
      <c r="F19" t="s">
        <v>76</v>
      </c>
      <c r="G19">
        <v>1</v>
      </c>
      <c r="H19">
        <v>24000</v>
      </c>
      <c r="I19">
        <v>0</v>
      </c>
      <c r="J19" t="s">
        <v>22</v>
      </c>
      <c r="K19">
        <v>24000</v>
      </c>
      <c r="L19">
        <v>16320</v>
      </c>
      <c r="M19">
        <v>7680</v>
      </c>
      <c r="N19">
        <v>0.32</v>
      </c>
      <c r="O19">
        <v>11</v>
      </c>
      <c r="P19" t="s">
        <v>23</v>
      </c>
      <c r="Q19">
        <v>2026</v>
      </c>
    </row>
    <row r="20" spans="1:17" x14ac:dyDescent="0.3">
      <c r="A20" t="s">
        <v>81</v>
      </c>
      <c r="B20" s="1">
        <v>46146</v>
      </c>
      <c r="C20" t="s">
        <v>82</v>
      </c>
      <c r="D20" t="s">
        <v>58</v>
      </c>
      <c r="E20" t="s">
        <v>33</v>
      </c>
      <c r="F20" t="s">
        <v>83</v>
      </c>
      <c r="G20">
        <v>1</v>
      </c>
      <c r="H20">
        <v>2500</v>
      </c>
      <c r="I20">
        <v>0.15</v>
      </c>
      <c r="J20" t="s">
        <v>28</v>
      </c>
      <c r="K20">
        <v>2125</v>
      </c>
      <c r="L20">
        <v>1317.5</v>
      </c>
      <c r="M20">
        <v>807.5</v>
      </c>
      <c r="N20">
        <v>0.38</v>
      </c>
      <c r="O20">
        <v>5</v>
      </c>
      <c r="P20" t="s">
        <v>52</v>
      </c>
      <c r="Q20">
        <v>2026</v>
      </c>
    </row>
    <row r="21" spans="1:17" x14ac:dyDescent="0.3">
      <c r="A21" t="s">
        <v>84</v>
      </c>
      <c r="B21" s="1">
        <v>46360</v>
      </c>
      <c r="C21" t="s">
        <v>85</v>
      </c>
      <c r="D21" t="s">
        <v>54</v>
      </c>
      <c r="E21" t="s">
        <v>26</v>
      </c>
      <c r="F21" t="s">
        <v>71</v>
      </c>
      <c r="G21">
        <v>2</v>
      </c>
      <c r="H21">
        <v>1800</v>
      </c>
      <c r="I21">
        <v>0.05</v>
      </c>
      <c r="J21" t="s">
        <v>28</v>
      </c>
      <c r="K21">
        <v>3420</v>
      </c>
      <c r="L21">
        <v>2325.6</v>
      </c>
      <c r="M21">
        <v>1094.4000000000001</v>
      </c>
      <c r="N21">
        <v>0.32</v>
      </c>
      <c r="O21">
        <v>12</v>
      </c>
      <c r="P21" t="s">
        <v>48</v>
      </c>
      <c r="Q21">
        <v>2026</v>
      </c>
    </row>
    <row r="22" spans="1:17" x14ac:dyDescent="0.3">
      <c r="A22" t="s">
        <v>86</v>
      </c>
      <c r="B22" s="1">
        <v>46299</v>
      </c>
      <c r="C22" t="s">
        <v>87</v>
      </c>
      <c r="D22" t="s">
        <v>54</v>
      </c>
      <c r="E22" t="s">
        <v>33</v>
      </c>
      <c r="F22" t="s">
        <v>55</v>
      </c>
      <c r="G22">
        <v>3</v>
      </c>
      <c r="H22">
        <v>1800</v>
      </c>
      <c r="I22">
        <v>0.1</v>
      </c>
      <c r="J22" t="s">
        <v>22</v>
      </c>
      <c r="K22">
        <v>4860</v>
      </c>
      <c r="L22">
        <v>3013.2</v>
      </c>
      <c r="M22">
        <v>1846.8</v>
      </c>
      <c r="N22">
        <v>0.38</v>
      </c>
      <c r="O22">
        <v>10</v>
      </c>
      <c r="P22" t="s">
        <v>29</v>
      </c>
      <c r="Q22">
        <v>2026</v>
      </c>
    </row>
    <row r="23" spans="1:17" x14ac:dyDescent="0.3">
      <c r="A23" t="s">
        <v>88</v>
      </c>
      <c r="B23" s="1">
        <v>46149</v>
      </c>
      <c r="C23" t="s">
        <v>89</v>
      </c>
      <c r="D23" t="s">
        <v>58</v>
      </c>
      <c r="E23" t="s">
        <v>20</v>
      </c>
      <c r="F23" t="s">
        <v>21</v>
      </c>
      <c r="G23">
        <v>3</v>
      </c>
      <c r="H23">
        <v>55000</v>
      </c>
      <c r="I23">
        <v>0</v>
      </c>
      <c r="J23" t="s">
        <v>28</v>
      </c>
      <c r="K23">
        <v>165000</v>
      </c>
      <c r="L23">
        <v>118800</v>
      </c>
      <c r="M23">
        <v>46200</v>
      </c>
      <c r="N23">
        <v>0.28000000000000003</v>
      </c>
      <c r="O23">
        <v>5</v>
      </c>
      <c r="P23" t="s">
        <v>52</v>
      </c>
      <c r="Q23">
        <v>2026</v>
      </c>
    </row>
    <row r="24" spans="1:17" x14ac:dyDescent="0.3">
      <c r="A24" t="s">
        <v>90</v>
      </c>
      <c r="B24" s="1">
        <v>46026</v>
      </c>
      <c r="C24" t="s">
        <v>91</v>
      </c>
      <c r="D24" t="s">
        <v>19</v>
      </c>
      <c r="E24" t="s">
        <v>20</v>
      </c>
      <c r="F24" t="s">
        <v>21</v>
      </c>
      <c r="G24">
        <v>2</v>
      </c>
      <c r="H24">
        <v>55000</v>
      </c>
      <c r="I24">
        <v>0</v>
      </c>
      <c r="J24" t="s">
        <v>28</v>
      </c>
      <c r="K24">
        <v>110000</v>
      </c>
      <c r="L24">
        <v>79200</v>
      </c>
      <c r="M24">
        <v>30800</v>
      </c>
      <c r="N24">
        <v>0.28000000000000003</v>
      </c>
      <c r="O24">
        <v>1</v>
      </c>
      <c r="P24" t="s">
        <v>92</v>
      </c>
      <c r="Q24">
        <v>2026</v>
      </c>
    </row>
    <row r="25" spans="1:17" x14ac:dyDescent="0.3">
      <c r="A25" t="s">
        <v>93</v>
      </c>
      <c r="B25" s="1">
        <v>46165</v>
      </c>
      <c r="C25" t="s">
        <v>94</v>
      </c>
      <c r="D25" t="s">
        <v>54</v>
      </c>
      <c r="E25" t="s">
        <v>33</v>
      </c>
      <c r="F25" t="s">
        <v>37</v>
      </c>
      <c r="G25">
        <v>2</v>
      </c>
      <c r="H25">
        <v>3200</v>
      </c>
      <c r="I25">
        <v>0.1</v>
      </c>
      <c r="J25" t="s">
        <v>28</v>
      </c>
      <c r="K25">
        <v>5760</v>
      </c>
      <c r="L25">
        <v>3571.2</v>
      </c>
      <c r="M25">
        <v>2188.8000000000002</v>
      </c>
      <c r="N25">
        <v>0.38</v>
      </c>
      <c r="O25">
        <v>5</v>
      </c>
      <c r="P25" t="s">
        <v>52</v>
      </c>
      <c r="Q25">
        <v>2026</v>
      </c>
    </row>
    <row r="26" spans="1:17" x14ac:dyDescent="0.3">
      <c r="A26" t="s">
        <v>95</v>
      </c>
      <c r="B26" s="1">
        <v>46265</v>
      </c>
      <c r="C26" t="s">
        <v>96</v>
      </c>
      <c r="D26" t="s">
        <v>54</v>
      </c>
      <c r="E26" t="s">
        <v>26</v>
      </c>
      <c r="F26" t="s">
        <v>97</v>
      </c>
      <c r="G26">
        <v>1</v>
      </c>
      <c r="H26">
        <v>9000</v>
      </c>
      <c r="I26">
        <v>0</v>
      </c>
      <c r="J26" t="s">
        <v>41</v>
      </c>
      <c r="K26">
        <v>9000</v>
      </c>
      <c r="L26">
        <v>6120</v>
      </c>
      <c r="M26">
        <v>2880</v>
      </c>
      <c r="N26">
        <v>0.32</v>
      </c>
      <c r="O26">
        <v>8</v>
      </c>
      <c r="P26" t="s">
        <v>98</v>
      </c>
      <c r="Q26">
        <v>2026</v>
      </c>
    </row>
    <row r="27" spans="1:17" x14ac:dyDescent="0.3">
      <c r="A27" t="s">
        <v>99</v>
      </c>
      <c r="B27" s="1">
        <v>46262</v>
      </c>
      <c r="C27" t="s">
        <v>100</v>
      </c>
      <c r="D27" t="s">
        <v>19</v>
      </c>
      <c r="E27" t="s">
        <v>33</v>
      </c>
      <c r="F27" t="s">
        <v>83</v>
      </c>
      <c r="G27">
        <v>1</v>
      </c>
      <c r="H27">
        <v>2500</v>
      </c>
      <c r="I27">
        <v>0</v>
      </c>
      <c r="J27" t="s">
        <v>28</v>
      </c>
      <c r="K27">
        <v>2500</v>
      </c>
      <c r="L27">
        <v>1550</v>
      </c>
      <c r="M27">
        <v>950</v>
      </c>
      <c r="N27">
        <v>0.38</v>
      </c>
      <c r="O27">
        <v>8</v>
      </c>
      <c r="P27" t="s">
        <v>98</v>
      </c>
      <c r="Q27">
        <v>2026</v>
      </c>
    </row>
    <row r="28" spans="1:17" x14ac:dyDescent="0.3">
      <c r="A28" t="s">
        <v>101</v>
      </c>
      <c r="B28" s="1">
        <v>46121</v>
      </c>
      <c r="C28" t="s">
        <v>102</v>
      </c>
      <c r="D28" t="s">
        <v>32</v>
      </c>
      <c r="E28" t="s">
        <v>20</v>
      </c>
      <c r="F28" t="s">
        <v>103</v>
      </c>
      <c r="G28">
        <v>4</v>
      </c>
      <c r="H28">
        <v>22000</v>
      </c>
      <c r="I28">
        <v>0.05</v>
      </c>
      <c r="J28" t="s">
        <v>41</v>
      </c>
      <c r="K28">
        <v>83600</v>
      </c>
      <c r="L28">
        <v>60192</v>
      </c>
      <c r="M28">
        <v>23408</v>
      </c>
      <c r="N28">
        <v>0.28000000000000003</v>
      </c>
      <c r="O28">
        <v>4</v>
      </c>
      <c r="P28" t="s">
        <v>104</v>
      </c>
      <c r="Q28">
        <v>2026</v>
      </c>
    </row>
    <row r="29" spans="1:17" x14ac:dyDescent="0.3">
      <c r="A29" t="s">
        <v>105</v>
      </c>
      <c r="B29" s="1">
        <v>46150</v>
      </c>
      <c r="C29" t="s">
        <v>106</v>
      </c>
      <c r="D29" t="s">
        <v>19</v>
      </c>
      <c r="E29" t="s">
        <v>20</v>
      </c>
      <c r="F29" t="s">
        <v>45</v>
      </c>
      <c r="G29">
        <v>5</v>
      </c>
      <c r="H29">
        <v>6000</v>
      </c>
      <c r="I29">
        <v>0</v>
      </c>
      <c r="J29" t="s">
        <v>22</v>
      </c>
      <c r="K29">
        <v>30000</v>
      </c>
      <c r="L29">
        <v>21600</v>
      </c>
      <c r="M29">
        <v>8400</v>
      </c>
      <c r="N29">
        <v>0.28000000000000003</v>
      </c>
      <c r="O29">
        <v>5</v>
      </c>
      <c r="P29" t="s">
        <v>52</v>
      </c>
      <c r="Q29">
        <v>2026</v>
      </c>
    </row>
    <row r="30" spans="1:17" x14ac:dyDescent="0.3">
      <c r="A30" t="s">
        <v>107</v>
      </c>
      <c r="B30" s="1">
        <v>46144</v>
      </c>
      <c r="C30" t="s">
        <v>108</v>
      </c>
      <c r="D30" t="s">
        <v>19</v>
      </c>
      <c r="E30" t="s">
        <v>20</v>
      </c>
      <c r="F30" t="s">
        <v>45</v>
      </c>
      <c r="G30">
        <v>4</v>
      </c>
      <c r="H30">
        <v>6000</v>
      </c>
      <c r="I30">
        <v>0.1</v>
      </c>
      <c r="J30" t="s">
        <v>28</v>
      </c>
      <c r="K30">
        <v>21600</v>
      </c>
      <c r="L30">
        <v>15552</v>
      </c>
      <c r="M30">
        <v>6048</v>
      </c>
      <c r="N30">
        <v>0.28000000000000003</v>
      </c>
      <c r="O30">
        <v>5</v>
      </c>
      <c r="P30" t="s">
        <v>52</v>
      </c>
      <c r="Q30">
        <v>2026</v>
      </c>
    </row>
    <row r="31" spans="1:17" x14ac:dyDescent="0.3">
      <c r="A31" t="s">
        <v>109</v>
      </c>
      <c r="B31" s="1">
        <v>46217</v>
      </c>
      <c r="C31" t="s">
        <v>110</v>
      </c>
      <c r="D31" t="s">
        <v>54</v>
      </c>
      <c r="E31" t="s">
        <v>20</v>
      </c>
      <c r="F31" t="s">
        <v>45</v>
      </c>
      <c r="G31">
        <v>3</v>
      </c>
      <c r="H31">
        <v>6000</v>
      </c>
      <c r="I31">
        <v>0.1</v>
      </c>
      <c r="J31" t="s">
        <v>28</v>
      </c>
      <c r="K31">
        <v>16200</v>
      </c>
      <c r="L31">
        <v>11664</v>
      </c>
      <c r="M31">
        <v>4536</v>
      </c>
      <c r="N31">
        <v>0.28000000000000003</v>
      </c>
      <c r="O31">
        <v>7</v>
      </c>
      <c r="P31" t="s">
        <v>63</v>
      </c>
      <c r="Q31">
        <v>2026</v>
      </c>
    </row>
    <row r="32" spans="1:17" x14ac:dyDescent="0.3">
      <c r="A32" t="s">
        <v>111</v>
      </c>
      <c r="B32" s="1">
        <v>46120</v>
      </c>
      <c r="C32" t="s">
        <v>112</v>
      </c>
      <c r="D32" t="s">
        <v>32</v>
      </c>
      <c r="E32" t="s">
        <v>26</v>
      </c>
      <c r="F32" t="s">
        <v>97</v>
      </c>
      <c r="G32">
        <v>1</v>
      </c>
      <c r="H32">
        <v>9000</v>
      </c>
      <c r="I32">
        <v>0.1</v>
      </c>
      <c r="J32" t="s">
        <v>22</v>
      </c>
      <c r="K32">
        <v>8100</v>
      </c>
      <c r="L32">
        <v>5508</v>
      </c>
      <c r="M32">
        <v>2592</v>
      </c>
      <c r="N32">
        <v>0.32</v>
      </c>
      <c r="O32">
        <v>4</v>
      </c>
      <c r="P32" t="s">
        <v>104</v>
      </c>
      <c r="Q32">
        <v>2026</v>
      </c>
    </row>
    <row r="33" spans="1:17" x14ac:dyDescent="0.3">
      <c r="A33" t="s">
        <v>113</v>
      </c>
      <c r="B33" s="1">
        <v>46048</v>
      </c>
      <c r="C33" t="s">
        <v>114</v>
      </c>
      <c r="D33" t="s">
        <v>19</v>
      </c>
      <c r="E33" t="s">
        <v>33</v>
      </c>
      <c r="F33" t="s">
        <v>37</v>
      </c>
      <c r="G33">
        <v>5</v>
      </c>
      <c r="H33">
        <v>3200</v>
      </c>
      <c r="I33">
        <v>0.1</v>
      </c>
      <c r="J33" t="s">
        <v>28</v>
      </c>
      <c r="K33">
        <v>14400</v>
      </c>
      <c r="L33">
        <v>8928</v>
      </c>
      <c r="M33">
        <v>5472</v>
      </c>
      <c r="N33">
        <v>0.38</v>
      </c>
      <c r="O33">
        <v>1</v>
      </c>
      <c r="P33" t="s">
        <v>92</v>
      </c>
      <c r="Q33">
        <v>2026</v>
      </c>
    </row>
    <row r="34" spans="1:17" x14ac:dyDescent="0.3">
      <c r="A34" t="s">
        <v>115</v>
      </c>
      <c r="B34" s="1">
        <v>46058</v>
      </c>
      <c r="C34" t="s">
        <v>116</v>
      </c>
      <c r="D34" t="s">
        <v>58</v>
      </c>
      <c r="E34" t="s">
        <v>33</v>
      </c>
      <c r="F34" t="s">
        <v>83</v>
      </c>
      <c r="G34">
        <v>2</v>
      </c>
      <c r="H34">
        <v>2500</v>
      </c>
      <c r="I34">
        <v>0.1</v>
      </c>
      <c r="J34" t="s">
        <v>22</v>
      </c>
      <c r="K34">
        <v>4500</v>
      </c>
      <c r="L34">
        <v>2790</v>
      </c>
      <c r="M34">
        <v>1710</v>
      </c>
      <c r="N34">
        <v>0.38</v>
      </c>
      <c r="O34">
        <v>2</v>
      </c>
      <c r="P34" t="s">
        <v>42</v>
      </c>
      <c r="Q34">
        <v>2026</v>
      </c>
    </row>
    <row r="35" spans="1:17" x14ac:dyDescent="0.3">
      <c r="A35" t="s">
        <v>117</v>
      </c>
      <c r="B35" s="1">
        <v>46340</v>
      </c>
      <c r="C35" t="s">
        <v>118</v>
      </c>
      <c r="D35" t="s">
        <v>32</v>
      </c>
      <c r="E35" t="s">
        <v>20</v>
      </c>
      <c r="F35" t="s">
        <v>45</v>
      </c>
      <c r="G35">
        <v>5</v>
      </c>
      <c r="H35">
        <v>6000</v>
      </c>
      <c r="I35">
        <v>0.1</v>
      </c>
      <c r="J35" t="s">
        <v>28</v>
      </c>
      <c r="K35">
        <v>27000</v>
      </c>
      <c r="L35">
        <v>19440</v>
      </c>
      <c r="M35">
        <v>7560</v>
      </c>
      <c r="N35">
        <v>0.28000000000000003</v>
      </c>
      <c r="O35">
        <v>11</v>
      </c>
      <c r="P35" t="s">
        <v>23</v>
      </c>
      <c r="Q35">
        <v>2026</v>
      </c>
    </row>
    <row r="36" spans="1:17" x14ac:dyDescent="0.3">
      <c r="A36" t="s">
        <v>119</v>
      </c>
      <c r="B36" s="1">
        <v>46365</v>
      </c>
      <c r="C36" t="s">
        <v>120</v>
      </c>
      <c r="D36" t="s">
        <v>32</v>
      </c>
      <c r="E36" t="s">
        <v>33</v>
      </c>
      <c r="F36" t="s">
        <v>121</v>
      </c>
      <c r="G36">
        <v>2</v>
      </c>
      <c r="H36">
        <v>900</v>
      </c>
      <c r="I36">
        <v>0.05</v>
      </c>
      <c r="J36" t="s">
        <v>41</v>
      </c>
      <c r="K36">
        <v>1710</v>
      </c>
      <c r="L36">
        <v>1060.2</v>
      </c>
      <c r="M36">
        <v>649.79999999999995</v>
      </c>
      <c r="N36">
        <v>0.37999999999999989</v>
      </c>
      <c r="O36">
        <v>12</v>
      </c>
      <c r="P36" t="s">
        <v>48</v>
      </c>
      <c r="Q36">
        <v>2026</v>
      </c>
    </row>
    <row r="37" spans="1:17" x14ac:dyDescent="0.3">
      <c r="A37" t="s">
        <v>122</v>
      </c>
      <c r="B37" s="1">
        <v>46184</v>
      </c>
      <c r="C37" t="s">
        <v>123</v>
      </c>
      <c r="D37" t="s">
        <v>19</v>
      </c>
      <c r="E37" t="s">
        <v>20</v>
      </c>
      <c r="F37" t="s">
        <v>21</v>
      </c>
      <c r="G37">
        <v>4</v>
      </c>
      <c r="H37">
        <v>55000</v>
      </c>
      <c r="I37">
        <v>0.1</v>
      </c>
      <c r="J37" t="s">
        <v>28</v>
      </c>
      <c r="K37">
        <v>198000</v>
      </c>
      <c r="L37">
        <v>142560</v>
      </c>
      <c r="M37">
        <v>55440</v>
      </c>
      <c r="N37">
        <v>0.28000000000000003</v>
      </c>
      <c r="O37">
        <v>6</v>
      </c>
      <c r="P37" t="s">
        <v>61</v>
      </c>
      <c r="Q37">
        <v>2026</v>
      </c>
    </row>
    <row r="38" spans="1:17" x14ac:dyDescent="0.3">
      <c r="A38" t="s">
        <v>124</v>
      </c>
      <c r="B38" s="1">
        <v>46282</v>
      </c>
      <c r="C38" t="s">
        <v>125</v>
      </c>
      <c r="D38" t="s">
        <v>32</v>
      </c>
      <c r="E38" t="s">
        <v>26</v>
      </c>
      <c r="F38" t="s">
        <v>97</v>
      </c>
      <c r="G38">
        <v>3</v>
      </c>
      <c r="H38">
        <v>9000</v>
      </c>
      <c r="I38">
        <v>0</v>
      </c>
      <c r="J38" t="s">
        <v>28</v>
      </c>
      <c r="K38">
        <v>27000</v>
      </c>
      <c r="L38">
        <v>18360</v>
      </c>
      <c r="M38">
        <v>8640</v>
      </c>
      <c r="N38">
        <v>0.32</v>
      </c>
      <c r="O38">
        <v>9</v>
      </c>
      <c r="P38" t="s">
        <v>73</v>
      </c>
      <c r="Q38">
        <v>2026</v>
      </c>
    </row>
    <row r="39" spans="1:17" x14ac:dyDescent="0.3">
      <c r="A39" t="s">
        <v>126</v>
      </c>
      <c r="B39" s="1">
        <v>46247</v>
      </c>
      <c r="C39" t="s">
        <v>127</v>
      </c>
      <c r="D39" t="s">
        <v>32</v>
      </c>
      <c r="E39" t="s">
        <v>33</v>
      </c>
      <c r="F39" t="s">
        <v>121</v>
      </c>
      <c r="G39">
        <v>5</v>
      </c>
      <c r="H39">
        <v>900</v>
      </c>
      <c r="I39">
        <v>0.15</v>
      </c>
      <c r="J39" t="s">
        <v>22</v>
      </c>
      <c r="K39">
        <v>3825</v>
      </c>
      <c r="L39">
        <v>2371.5</v>
      </c>
      <c r="M39">
        <v>1453.5</v>
      </c>
      <c r="N39">
        <v>0.38</v>
      </c>
      <c r="O39">
        <v>8</v>
      </c>
      <c r="P39" t="s">
        <v>98</v>
      </c>
      <c r="Q39">
        <v>2026</v>
      </c>
    </row>
    <row r="40" spans="1:17" x14ac:dyDescent="0.3">
      <c r="A40" t="s">
        <v>128</v>
      </c>
      <c r="B40" s="1">
        <v>46091</v>
      </c>
      <c r="C40" t="s">
        <v>129</v>
      </c>
      <c r="D40" t="s">
        <v>32</v>
      </c>
      <c r="E40" t="s">
        <v>26</v>
      </c>
      <c r="F40" t="s">
        <v>27</v>
      </c>
      <c r="G40">
        <v>1</v>
      </c>
      <c r="H40">
        <v>7000</v>
      </c>
      <c r="I40">
        <v>0.15</v>
      </c>
      <c r="J40" t="s">
        <v>72</v>
      </c>
      <c r="K40">
        <v>5950</v>
      </c>
      <c r="L40">
        <v>4046</v>
      </c>
      <c r="M40">
        <v>1904</v>
      </c>
      <c r="N40">
        <v>0.32</v>
      </c>
      <c r="O40">
        <v>3</v>
      </c>
      <c r="P40" t="s">
        <v>38</v>
      </c>
      <c r="Q40">
        <v>2026</v>
      </c>
    </row>
    <row r="41" spans="1:17" x14ac:dyDescent="0.3">
      <c r="A41" t="s">
        <v>130</v>
      </c>
      <c r="B41" s="1">
        <v>46332</v>
      </c>
      <c r="C41" t="s">
        <v>131</v>
      </c>
      <c r="D41" t="s">
        <v>54</v>
      </c>
      <c r="E41" t="s">
        <v>20</v>
      </c>
      <c r="F41" t="s">
        <v>132</v>
      </c>
      <c r="G41">
        <v>2</v>
      </c>
      <c r="H41">
        <v>3500</v>
      </c>
      <c r="I41">
        <v>0.15</v>
      </c>
      <c r="J41" t="s">
        <v>72</v>
      </c>
      <c r="K41">
        <v>5950</v>
      </c>
      <c r="L41">
        <v>4284</v>
      </c>
      <c r="M41">
        <v>1666</v>
      </c>
      <c r="N41">
        <v>0.28000000000000003</v>
      </c>
      <c r="O41">
        <v>11</v>
      </c>
      <c r="P41" t="s">
        <v>23</v>
      </c>
      <c r="Q41">
        <v>2026</v>
      </c>
    </row>
    <row r="42" spans="1:17" x14ac:dyDescent="0.3">
      <c r="A42" t="s">
        <v>133</v>
      </c>
      <c r="B42" s="1">
        <v>46049</v>
      </c>
      <c r="C42" t="s">
        <v>134</v>
      </c>
      <c r="D42" t="s">
        <v>58</v>
      </c>
      <c r="E42" t="s">
        <v>20</v>
      </c>
      <c r="F42" t="s">
        <v>45</v>
      </c>
      <c r="G42">
        <v>3</v>
      </c>
      <c r="H42">
        <v>6000</v>
      </c>
      <c r="I42">
        <v>0</v>
      </c>
      <c r="J42" t="s">
        <v>72</v>
      </c>
      <c r="K42">
        <v>18000</v>
      </c>
      <c r="L42">
        <v>12960</v>
      </c>
      <c r="M42">
        <v>5040</v>
      </c>
      <c r="N42">
        <v>0.28000000000000003</v>
      </c>
      <c r="O42">
        <v>1</v>
      </c>
      <c r="P42" t="s">
        <v>92</v>
      </c>
      <c r="Q42">
        <v>2026</v>
      </c>
    </row>
    <row r="43" spans="1:17" x14ac:dyDescent="0.3">
      <c r="A43" t="s">
        <v>135</v>
      </c>
      <c r="B43" s="1">
        <v>46105</v>
      </c>
      <c r="C43" t="s">
        <v>136</v>
      </c>
      <c r="D43" t="s">
        <v>19</v>
      </c>
      <c r="E43" t="s">
        <v>33</v>
      </c>
      <c r="F43" t="s">
        <v>37</v>
      </c>
      <c r="G43">
        <v>5</v>
      </c>
      <c r="H43">
        <v>3200</v>
      </c>
      <c r="I43">
        <v>0.15</v>
      </c>
      <c r="J43" t="s">
        <v>22</v>
      </c>
      <c r="K43">
        <v>13600</v>
      </c>
      <c r="L43">
        <v>8432</v>
      </c>
      <c r="M43">
        <v>5168</v>
      </c>
      <c r="N43">
        <v>0.38</v>
      </c>
      <c r="O43">
        <v>3</v>
      </c>
      <c r="P43" t="s">
        <v>38</v>
      </c>
      <c r="Q43">
        <v>2026</v>
      </c>
    </row>
    <row r="44" spans="1:17" x14ac:dyDescent="0.3">
      <c r="A44" t="s">
        <v>137</v>
      </c>
      <c r="B44" s="1">
        <v>46061</v>
      </c>
      <c r="C44" t="s">
        <v>138</v>
      </c>
      <c r="D44" t="s">
        <v>58</v>
      </c>
      <c r="E44" t="s">
        <v>33</v>
      </c>
      <c r="F44" t="s">
        <v>55</v>
      </c>
      <c r="G44">
        <v>5</v>
      </c>
      <c r="H44">
        <v>1800</v>
      </c>
      <c r="I44">
        <v>0</v>
      </c>
      <c r="J44" t="s">
        <v>41</v>
      </c>
      <c r="K44">
        <v>9000</v>
      </c>
      <c r="L44">
        <v>5580</v>
      </c>
      <c r="M44">
        <v>3420</v>
      </c>
      <c r="N44">
        <v>0.38</v>
      </c>
      <c r="O44">
        <v>2</v>
      </c>
      <c r="P44" t="s">
        <v>42</v>
      </c>
      <c r="Q44">
        <v>2026</v>
      </c>
    </row>
    <row r="45" spans="1:17" x14ac:dyDescent="0.3">
      <c r="A45" t="s">
        <v>139</v>
      </c>
      <c r="B45" s="1">
        <v>46088</v>
      </c>
      <c r="C45" t="s">
        <v>50</v>
      </c>
      <c r="D45" t="s">
        <v>58</v>
      </c>
      <c r="E45" t="s">
        <v>20</v>
      </c>
      <c r="F45" t="s">
        <v>132</v>
      </c>
      <c r="G45">
        <v>3</v>
      </c>
      <c r="H45">
        <v>3500</v>
      </c>
      <c r="I45">
        <v>0</v>
      </c>
      <c r="J45" t="s">
        <v>22</v>
      </c>
      <c r="K45">
        <v>10500</v>
      </c>
      <c r="L45">
        <v>7560</v>
      </c>
      <c r="M45">
        <v>2940</v>
      </c>
      <c r="N45">
        <v>0.28000000000000003</v>
      </c>
      <c r="O45">
        <v>3</v>
      </c>
      <c r="P45" t="s">
        <v>38</v>
      </c>
      <c r="Q45">
        <v>2026</v>
      </c>
    </row>
    <row r="46" spans="1:17" x14ac:dyDescent="0.3">
      <c r="A46" t="s">
        <v>140</v>
      </c>
      <c r="B46" s="1">
        <v>46204</v>
      </c>
      <c r="C46" t="s">
        <v>36</v>
      </c>
      <c r="D46" t="s">
        <v>58</v>
      </c>
      <c r="E46" t="s">
        <v>33</v>
      </c>
      <c r="F46" t="s">
        <v>37</v>
      </c>
      <c r="G46">
        <v>5</v>
      </c>
      <c r="H46">
        <v>3200</v>
      </c>
      <c r="I46">
        <v>0.15</v>
      </c>
      <c r="J46" t="s">
        <v>28</v>
      </c>
      <c r="K46">
        <v>13600</v>
      </c>
      <c r="L46">
        <v>8432</v>
      </c>
      <c r="M46">
        <v>5168</v>
      </c>
      <c r="N46">
        <v>0.38</v>
      </c>
      <c r="O46">
        <v>7</v>
      </c>
      <c r="P46" t="s">
        <v>63</v>
      </c>
      <c r="Q46">
        <v>2026</v>
      </c>
    </row>
    <row r="47" spans="1:17" x14ac:dyDescent="0.3">
      <c r="A47" t="s">
        <v>141</v>
      </c>
      <c r="B47" s="1">
        <v>46234</v>
      </c>
      <c r="C47" t="s">
        <v>142</v>
      </c>
      <c r="D47" t="s">
        <v>58</v>
      </c>
      <c r="E47" t="s">
        <v>20</v>
      </c>
      <c r="F47" t="s">
        <v>68</v>
      </c>
      <c r="G47">
        <v>3</v>
      </c>
      <c r="H47">
        <v>28000</v>
      </c>
      <c r="I47">
        <v>0.1</v>
      </c>
      <c r="J47" t="s">
        <v>22</v>
      </c>
      <c r="K47">
        <v>75600</v>
      </c>
      <c r="L47">
        <v>54432</v>
      </c>
      <c r="M47">
        <v>21168</v>
      </c>
      <c r="N47">
        <v>0.28000000000000003</v>
      </c>
      <c r="O47">
        <v>7</v>
      </c>
      <c r="P47" t="s">
        <v>63</v>
      </c>
      <c r="Q47">
        <v>2026</v>
      </c>
    </row>
    <row r="48" spans="1:17" x14ac:dyDescent="0.3">
      <c r="A48" t="s">
        <v>143</v>
      </c>
      <c r="B48" s="1">
        <v>46218</v>
      </c>
      <c r="C48" t="s">
        <v>144</v>
      </c>
      <c r="D48" t="s">
        <v>32</v>
      </c>
      <c r="E48" t="s">
        <v>20</v>
      </c>
      <c r="F48" t="s">
        <v>45</v>
      </c>
      <c r="G48">
        <v>2</v>
      </c>
      <c r="H48">
        <v>6000</v>
      </c>
      <c r="I48">
        <v>0.05</v>
      </c>
      <c r="J48" t="s">
        <v>28</v>
      </c>
      <c r="K48">
        <v>11400</v>
      </c>
      <c r="L48">
        <v>8208</v>
      </c>
      <c r="M48">
        <v>3192</v>
      </c>
      <c r="N48">
        <v>0.28000000000000003</v>
      </c>
      <c r="O48">
        <v>7</v>
      </c>
      <c r="P48" t="s">
        <v>63</v>
      </c>
      <c r="Q48">
        <v>2026</v>
      </c>
    </row>
    <row r="49" spans="1:17" x14ac:dyDescent="0.3">
      <c r="A49" t="s">
        <v>145</v>
      </c>
      <c r="B49" s="1">
        <v>46137</v>
      </c>
      <c r="C49" t="s">
        <v>146</v>
      </c>
      <c r="D49" t="s">
        <v>32</v>
      </c>
      <c r="E49" t="s">
        <v>20</v>
      </c>
      <c r="F49" t="s">
        <v>68</v>
      </c>
      <c r="G49">
        <v>4</v>
      </c>
      <c r="H49">
        <v>28000</v>
      </c>
      <c r="I49">
        <v>0.05</v>
      </c>
      <c r="J49" t="s">
        <v>72</v>
      </c>
      <c r="K49">
        <v>106400</v>
      </c>
      <c r="L49">
        <v>76608</v>
      </c>
      <c r="M49">
        <v>29792</v>
      </c>
      <c r="N49">
        <v>0.28000000000000003</v>
      </c>
      <c r="O49">
        <v>4</v>
      </c>
      <c r="P49" t="s">
        <v>104</v>
      </c>
      <c r="Q49">
        <v>2026</v>
      </c>
    </row>
    <row r="50" spans="1:17" x14ac:dyDescent="0.3">
      <c r="A50" t="s">
        <v>147</v>
      </c>
      <c r="B50" s="1">
        <v>46351</v>
      </c>
      <c r="C50" t="s">
        <v>148</v>
      </c>
      <c r="D50" t="s">
        <v>32</v>
      </c>
      <c r="E50" t="s">
        <v>33</v>
      </c>
      <c r="F50" t="s">
        <v>37</v>
      </c>
      <c r="G50">
        <v>5</v>
      </c>
      <c r="H50">
        <v>3200</v>
      </c>
      <c r="I50">
        <v>0.05</v>
      </c>
      <c r="J50" t="s">
        <v>28</v>
      </c>
      <c r="K50">
        <v>15200</v>
      </c>
      <c r="L50">
        <v>9424</v>
      </c>
      <c r="M50">
        <v>5776</v>
      </c>
      <c r="N50">
        <v>0.38</v>
      </c>
      <c r="O50">
        <v>11</v>
      </c>
      <c r="P50" t="s">
        <v>23</v>
      </c>
      <c r="Q50">
        <v>2026</v>
      </c>
    </row>
    <row r="51" spans="1:17" x14ac:dyDescent="0.3">
      <c r="A51" t="s">
        <v>149</v>
      </c>
      <c r="B51" s="1">
        <v>46320</v>
      </c>
      <c r="C51" t="s">
        <v>96</v>
      </c>
      <c r="D51" t="s">
        <v>32</v>
      </c>
      <c r="E51" t="s">
        <v>26</v>
      </c>
      <c r="F51" t="s">
        <v>27</v>
      </c>
      <c r="G51">
        <v>1</v>
      </c>
      <c r="H51">
        <v>7000</v>
      </c>
      <c r="I51">
        <v>0.1</v>
      </c>
      <c r="J51" t="s">
        <v>41</v>
      </c>
      <c r="K51">
        <v>6300</v>
      </c>
      <c r="L51">
        <v>4284</v>
      </c>
      <c r="M51">
        <v>2016</v>
      </c>
      <c r="N51">
        <v>0.32</v>
      </c>
      <c r="O51">
        <v>10</v>
      </c>
      <c r="P51" t="s">
        <v>29</v>
      </c>
      <c r="Q51">
        <v>2026</v>
      </c>
    </row>
    <row r="52" spans="1:17" x14ac:dyDescent="0.3">
      <c r="A52" t="s">
        <v>150</v>
      </c>
      <c r="B52" s="1">
        <v>46333</v>
      </c>
      <c r="C52" t="s">
        <v>151</v>
      </c>
      <c r="D52" t="s">
        <v>19</v>
      </c>
      <c r="E52" t="s">
        <v>33</v>
      </c>
      <c r="F52" t="s">
        <v>83</v>
      </c>
      <c r="G52">
        <v>4</v>
      </c>
      <c r="H52">
        <v>2500</v>
      </c>
      <c r="I52">
        <v>0.1</v>
      </c>
      <c r="J52" t="s">
        <v>41</v>
      </c>
      <c r="K52">
        <v>9000</v>
      </c>
      <c r="L52">
        <v>5580</v>
      </c>
      <c r="M52">
        <v>3420</v>
      </c>
      <c r="N52">
        <v>0.38</v>
      </c>
      <c r="O52">
        <v>11</v>
      </c>
      <c r="P52" t="s">
        <v>23</v>
      </c>
      <c r="Q52">
        <v>2026</v>
      </c>
    </row>
    <row r="53" spans="1:17" x14ac:dyDescent="0.3">
      <c r="A53" t="s">
        <v>152</v>
      </c>
      <c r="B53" s="1">
        <v>46023</v>
      </c>
      <c r="C53" t="s">
        <v>153</v>
      </c>
      <c r="D53" t="s">
        <v>32</v>
      </c>
      <c r="E53" t="s">
        <v>33</v>
      </c>
      <c r="F53" t="s">
        <v>34</v>
      </c>
      <c r="G53">
        <v>2</v>
      </c>
      <c r="H53">
        <v>2200</v>
      </c>
      <c r="I53">
        <v>0.05</v>
      </c>
      <c r="J53" t="s">
        <v>72</v>
      </c>
      <c r="K53">
        <v>4180</v>
      </c>
      <c r="L53">
        <v>2591.6</v>
      </c>
      <c r="M53">
        <v>1588.4</v>
      </c>
      <c r="N53">
        <v>0.38</v>
      </c>
      <c r="O53">
        <v>1</v>
      </c>
      <c r="P53" t="s">
        <v>92</v>
      </c>
      <c r="Q53">
        <v>2026</v>
      </c>
    </row>
    <row r="54" spans="1:17" x14ac:dyDescent="0.3">
      <c r="A54" t="s">
        <v>154</v>
      </c>
      <c r="B54" s="1">
        <v>46362</v>
      </c>
      <c r="C54" t="s">
        <v>96</v>
      </c>
      <c r="D54" t="s">
        <v>54</v>
      </c>
      <c r="E54" t="s">
        <v>20</v>
      </c>
      <c r="F54" t="s">
        <v>132</v>
      </c>
      <c r="G54">
        <v>5</v>
      </c>
      <c r="H54">
        <v>3500</v>
      </c>
      <c r="I54">
        <v>0.05</v>
      </c>
      <c r="J54" t="s">
        <v>72</v>
      </c>
      <c r="K54">
        <v>16625</v>
      </c>
      <c r="L54">
        <v>11970</v>
      </c>
      <c r="M54">
        <v>4655</v>
      </c>
      <c r="N54">
        <v>0.28000000000000003</v>
      </c>
      <c r="O54">
        <v>12</v>
      </c>
      <c r="P54" t="s">
        <v>48</v>
      </c>
      <c r="Q54">
        <v>2026</v>
      </c>
    </row>
    <row r="55" spans="1:17" x14ac:dyDescent="0.3">
      <c r="A55" t="s">
        <v>155</v>
      </c>
      <c r="B55" s="1">
        <v>46306</v>
      </c>
      <c r="C55" t="s">
        <v>120</v>
      </c>
      <c r="D55" t="s">
        <v>32</v>
      </c>
      <c r="E55" t="s">
        <v>20</v>
      </c>
      <c r="F55" t="s">
        <v>68</v>
      </c>
      <c r="G55">
        <v>4</v>
      </c>
      <c r="H55">
        <v>28000</v>
      </c>
      <c r="I55">
        <v>0.15</v>
      </c>
      <c r="J55" t="s">
        <v>41</v>
      </c>
      <c r="K55">
        <v>95200</v>
      </c>
      <c r="L55">
        <v>68544</v>
      </c>
      <c r="M55">
        <v>26656</v>
      </c>
      <c r="N55">
        <v>0.28000000000000003</v>
      </c>
      <c r="O55">
        <v>10</v>
      </c>
      <c r="P55" t="s">
        <v>29</v>
      </c>
      <c r="Q55">
        <v>2026</v>
      </c>
    </row>
    <row r="56" spans="1:17" x14ac:dyDescent="0.3">
      <c r="A56" t="s">
        <v>156</v>
      </c>
      <c r="B56" s="1">
        <v>46303</v>
      </c>
      <c r="C56" t="s">
        <v>157</v>
      </c>
      <c r="D56" t="s">
        <v>32</v>
      </c>
      <c r="E56" t="s">
        <v>20</v>
      </c>
      <c r="F56" t="s">
        <v>132</v>
      </c>
      <c r="G56">
        <v>3</v>
      </c>
      <c r="H56">
        <v>3500</v>
      </c>
      <c r="I56">
        <v>0.05</v>
      </c>
      <c r="J56" t="s">
        <v>41</v>
      </c>
      <c r="K56">
        <v>9975</v>
      </c>
      <c r="L56">
        <v>7182</v>
      </c>
      <c r="M56">
        <v>2793</v>
      </c>
      <c r="N56">
        <v>0.28000000000000003</v>
      </c>
      <c r="O56">
        <v>10</v>
      </c>
      <c r="P56" t="s">
        <v>29</v>
      </c>
      <c r="Q56">
        <v>2026</v>
      </c>
    </row>
    <row r="57" spans="1:17" x14ac:dyDescent="0.3">
      <c r="A57" t="s">
        <v>158</v>
      </c>
      <c r="B57" s="1">
        <v>46249</v>
      </c>
      <c r="C57" t="s">
        <v>159</v>
      </c>
      <c r="D57" t="s">
        <v>32</v>
      </c>
      <c r="E57" t="s">
        <v>26</v>
      </c>
      <c r="F57" t="s">
        <v>97</v>
      </c>
      <c r="G57">
        <v>5</v>
      </c>
      <c r="H57">
        <v>9000</v>
      </c>
      <c r="I57">
        <v>0.1</v>
      </c>
      <c r="J57" t="s">
        <v>72</v>
      </c>
      <c r="K57">
        <v>40500</v>
      </c>
      <c r="L57">
        <v>27540</v>
      </c>
      <c r="M57">
        <v>12960</v>
      </c>
      <c r="N57">
        <v>0.32</v>
      </c>
      <c r="O57">
        <v>8</v>
      </c>
      <c r="P57" t="s">
        <v>98</v>
      </c>
      <c r="Q57">
        <v>2026</v>
      </c>
    </row>
    <row r="58" spans="1:17" x14ac:dyDescent="0.3">
      <c r="A58" t="s">
        <v>160</v>
      </c>
      <c r="B58" s="1">
        <v>46070</v>
      </c>
      <c r="C58" t="s">
        <v>161</v>
      </c>
      <c r="D58" t="s">
        <v>19</v>
      </c>
      <c r="E58" t="s">
        <v>20</v>
      </c>
      <c r="F58" t="s">
        <v>132</v>
      </c>
      <c r="G58">
        <v>2</v>
      </c>
      <c r="H58">
        <v>3500</v>
      </c>
      <c r="I58">
        <v>0.05</v>
      </c>
      <c r="J58" t="s">
        <v>28</v>
      </c>
      <c r="K58">
        <v>6650</v>
      </c>
      <c r="L58">
        <v>4788</v>
      </c>
      <c r="M58">
        <v>1862</v>
      </c>
      <c r="N58">
        <v>0.28000000000000003</v>
      </c>
      <c r="O58">
        <v>2</v>
      </c>
      <c r="P58" t="s">
        <v>42</v>
      </c>
      <c r="Q58">
        <v>2026</v>
      </c>
    </row>
    <row r="59" spans="1:17" x14ac:dyDescent="0.3">
      <c r="A59" t="s">
        <v>162</v>
      </c>
      <c r="B59" s="1">
        <v>46266</v>
      </c>
      <c r="C59" t="s">
        <v>163</v>
      </c>
      <c r="D59" t="s">
        <v>54</v>
      </c>
      <c r="E59" t="s">
        <v>33</v>
      </c>
      <c r="F59" t="s">
        <v>83</v>
      </c>
      <c r="G59">
        <v>4</v>
      </c>
      <c r="H59">
        <v>2500</v>
      </c>
      <c r="I59">
        <v>0.1</v>
      </c>
      <c r="J59" t="s">
        <v>41</v>
      </c>
      <c r="K59">
        <v>9000</v>
      </c>
      <c r="L59">
        <v>5580</v>
      </c>
      <c r="M59">
        <v>3420</v>
      </c>
      <c r="N59">
        <v>0.38</v>
      </c>
      <c r="O59">
        <v>9</v>
      </c>
      <c r="P59" t="s">
        <v>73</v>
      </c>
      <c r="Q59">
        <v>2026</v>
      </c>
    </row>
    <row r="60" spans="1:17" x14ac:dyDescent="0.3">
      <c r="A60" t="s">
        <v>164</v>
      </c>
      <c r="B60" s="1">
        <v>46227</v>
      </c>
      <c r="C60" t="s">
        <v>165</v>
      </c>
      <c r="D60" t="s">
        <v>58</v>
      </c>
      <c r="E60" t="s">
        <v>20</v>
      </c>
      <c r="F60" t="s">
        <v>68</v>
      </c>
      <c r="G60">
        <v>1</v>
      </c>
      <c r="H60">
        <v>28000</v>
      </c>
      <c r="I60">
        <v>0</v>
      </c>
      <c r="J60" t="s">
        <v>41</v>
      </c>
      <c r="K60">
        <v>28000</v>
      </c>
      <c r="L60">
        <v>20160</v>
      </c>
      <c r="M60">
        <v>7840</v>
      </c>
      <c r="N60">
        <v>0.28000000000000003</v>
      </c>
      <c r="O60">
        <v>7</v>
      </c>
      <c r="P60" t="s">
        <v>63</v>
      </c>
      <c r="Q60">
        <v>2026</v>
      </c>
    </row>
    <row r="61" spans="1:17" x14ac:dyDescent="0.3">
      <c r="A61" t="s">
        <v>166</v>
      </c>
      <c r="B61" s="1">
        <v>46048</v>
      </c>
      <c r="C61" t="s">
        <v>167</v>
      </c>
      <c r="D61" t="s">
        <v>32</v>
      </c>
      <c r="E61" t="s">
        <v>33</v>
      </c>
      <c r="F61" t="s">
        <v>55</v>
      </c>
      <c r="G61">
        <v>1</v>
      </c>
      <c r="H61">
        <v>1800</v>
      </c>
      <c r="I61">
        <v>0.1</v>
      </c>
      <c r="J61" t="s">
        <v>41</v>
      </c>
      <c r="K61">
        <v>1620</v>
      </c>
      <c r="L61">
        <v>1004.4</v>
      </c>
      <c r="M61">
        <v>615.6</v>
      </c>
      <c r="N61">
        <v>0.38</v>
      </c>
      <c r="O61">
        <v>1</v>
      </c>
      <c r="P61" t="s">
        <v>92</v>
      </c>
      <c r="Q61">
        <v>2026</v>
      </c>
    </row>
    <row r="62" spans="1:17" x14ac:dyDescent="0.3">
      <c r="A62" t="s">
        <v>168</v>
      </c>
      <c r="B62" s="1">
        <v>46336</v>
      </c>
      <c r="C62" t="s">
        <v>169</v>
      </c>
      <c r="D62" t="s">
        <v>54</v>
      </c>
      <c r="E62" t="s">
        <v>33</v>
      </c>
      <c r="F62" t="s">
        <v>34</v>
      </c>
      <c r="G62">
        <v>4</v>
      </c>
      <c r="H62">
        <v>2200</v>
      </c>
      <c r="I62">
        <v>0.1</v>
      </c>
      <c r="J62" t="s">
        <v>41</v>
      </c>
      <c r="K62">
        <v>7920</v>
      </c>
      <c r="L62">
        <v>4910.3999999999996</v>
      </c>
      <c r="M62">
        <v>3009.6</v>
      </c>
      <c r="N62">
        <v>0.38</v>
      </c>
      <c r="O62">
        <v>11</v>
      </c>
      <c r="P62" t="s">
        <v>23</v>
      </c>
      <c r="Q62">
        <v>2026</v>
      </c>
    </row>
    <row r="63" spans="1:17" x14ac:dyDescent="0.3">
      <c r="A63" t="s">
        <v>170</v>
      </c>
      <c r="B63" s="1">
        <v>46155</v>
      </c>
      <c r="C63" t="s">
        <v>142</v>
      </c>
      <c r="D63" t="s">
        <v>54</v>
      </c>
      <c r="E63" t="s">
        <v>20</v>
      </c>
      <c r="F63" t="s">
        <v>132</v>
      </c>
      <c r="G63">
        <v>5</v>
      </c>
      <c r="H63">
        <v>3500</v>
      </c>
      <c r="I63">
        <v>0.1</v>
      </c>
      <c r="J63" t="s">
        <v>22</v>
      </c>
      <c r="K63">
        <v>15750</v>
      </c>
      <c r="L63">
        <v>11340</v>
      </c>
      <c r="M63">
        <v>4410</v>
      </c>
      <c r="N63">
        <v>0.28000000000000003</v>
      </c>
      <c r="O63">
        <v>5</v>
      </c>
      <c r="P63" t="s">
        <v>52</v>
      </c>
      <c r="Q63">
        <v>2026</v>
      </c>
    </row>
    <row r="64" spans="1:17" x14ac:dyDescent="0.3">
      <c r="A64" t="s">
        <v>171</v>
      </c>
      <c r="B64" s="1">
        <v>46169</v>
      </c>
      <c r="C64" t="s">
        <v>172</v>
      </c>
      <c r="D64" t="s">
        <v>58</v>
      </c>
      <c r="E64" t="s">
        <v>20</v>
      </c>
      <c r="F64" t="s">
        <v>132</v>
      </c>
      <c r="G64">
        <v>3</v>
      </c>
      <c r="H64">
        <v>3500</v>
      </c>
      <c r="I64">
        <v>0.05</v>
      </c>
      <c r="J64" t="s">
        <v>28</v>
      </c>
      <c r="K64">
        <v>9975</v>
      </c>
      <c r="L64">
        <v>7182</v>
      </c>
      <c r="M64">
        <v>2793</v>
      </c>
      <c r="N64">
        <v>0.28000000000000003</v>
      </c>
      <c r="O64">
        <v>5</v>
      </c>
      <c r="P64" t="s">
        <v>52</v>
      </c>
      <c r="Q64">
        <v>2026</v>
      </c>
    </row>
    <row r="65" spans="1:17" x14ac:dyDescent="0.3">
      <c r="A65" t="s">
        <v>173</v>
      </c>
      <c r="B65" s="1">
        <v>46141</v>
      </c>
      <c r="C65" t="s">
        <v>174</v>
      </c>
      <c r="D65" t="s">
        <v>32</v>
      </c>
      <c r="E65" t="s">
        <v>26</v>
      </c>
      <c r="F65" t="s">
        <v>97</v>
      </c>
      <c r="G65">
        <v>2</v>
      </c>
      <c r="H65">
        <v>9000</v>
      </c>
      <c r="I65">
        <v>0</v>
      </c>
      <c r="J65" t="s">
        <v>41</v>
      </c>
      <c r="K65">
        <v>18000</v>
      </c>
      <c r="L65">
        <v>12240</v>
      </c>
      <c r="M65">
        <v>5760</v>
      </c>
      <c r="N65">
        <v>0.32</v>
      </c>
      <c r="O65">
        <v>4</v>
      </c>
      <c r="P65" t="s">
        <v>104</v>
      </c>
      <c r="Q65">
        <v>2026</v>
      </c>
    </row>
    <row r="66" spans="1:17" x14ac:dyDescent="0.3">
      <c r="A66" t="s">
        <v>175</v>
      </c>
      <c r="B66" s="1">
        <v>46235</v>
      </c>
      <c r="C66" t="s">
        <v>176</v>
      </c>
      <c r="D66" t="s">
        <v>54</v>
      </c>
      <c r="E66" t="s">
        <v>20</v>
      </c>
      <c r="F66" t="s">
        <v>68</v>
      </c>
      <c r="G66">
        <v>4</v>
      </c>
      <c r="H66">
        <v>28000</v>
      </c>
      <c r="I66">
        <v>0.1</v>
      </c>
      <c r="J66" t="s">
        <v>41</v>
      </c>
      <c r="K66">
        <v>100800</v>
      </c>
      <c r="L66">
        <v>72576</v>
      </c>
      <c r="M66">
        <v>28224</v>
      </c>
      <c r="N66">
        <v>0.28000000000000003</v>
      </c>
      <c r="O66">
        <v>8</v>
      </c>
      <c r="P66" t="s">
        <v>98</v>
      </c>
      <c r="Q66">
        <v>2026</v>
      </c>
    </row>
    <row r="67" spans="1:17" x14ac:dyDescent="0.3">
      <c r="A67" t="s">
        <v>177</v>
      </c>
      <c r="B67" s="1">
        <v>46026</v>
      </c>
      <c r="C67" t="s">
        <v>178</v>
      </c>
      <c r="D67" t="s">
        <v>58</v>
      </c>
      <c r="E67" t="s">
        <v>26</v>
      </c>
      <c r="F67" t="s">
        <v>51</v>
      </c>
      <c r="G67">
        <v>4</v>
      </c>
      <c r="H67">
        <v>5500</v>
      </c>
      <c r="I67">
        <v>0.1</v>
      </c>
      <c r="J67" t="s">
        <v>41</v>
      </c>
      <c r="K67">
        <v>19800</v>
      </c>
      <c r="L67">
        <v>13464</v>
      </c>
      <c r="M67">
        <v>6336</v>
      </c>
      <c r="N67">
        <v>0.32</v>
      </c>
      <c r="O67">
        <v>1</v>
      </c>
      <c r="P67" t="s">
        <v>92</v>
      </c>
      <c r="Q67">
        <v>2026</v>
      </c>
    </row>
    <row r="68" spans="1:17" x14ac:dyDescent="0.3">
      <c r="A68" t="s">
        <v>179</v>
      </c>
      <c r="B68" s="1">
        <v>46135</v>
      </c>
      <c r="C68" t="s">
        <v>100</v>
      </c>
      <c r="D68" t="s">
        <v>54</v>
      </c>
      <c r="E68" t="s">
        <v>26</v>
      </c>
      <c r="F68" t="s">
        <v>76</v>
      </c>
      <c r="G68">
        <v>4</v>
      </c>
      <c r="H68">
        <v>24000</v>
      </c>
      <c r="I68">
        <v>0</v>
      </c>
      <c r="J68" t="s">
        <v>28</v>
      </c>
      <c r="K68">
        <v>96000</v>
      </c>
      <c r="L68">
        <v>65280</v>
      </c>
      <c r="M68">
        <v>30720</v>
      </c>
      <c r="N68">
        <v>0.32</v>
      </c>
      <c r="O68">
        <v>4</v>
      </c>
      <c r="P68" t="s">
        <v>104</v>
      </c>
      <c r="Q68">
        <v>2026</v>
      </c>
    </row>
    <row r="69" spans="1:17" x14ac:dyDescent="0.3">
      <c r="A69" t="s">
        <v>180</v>
      </c>
      <c r="B69" s="1">
        <v>46262</v>
      </c>
      <c r="C69" t="s">
        <v>181</v>
      </c>
      <c r="D69" t="s">
        <v>19</v>
      </c>
      <c r="E69" t="s">
        <v>20</v>
      </c>
      <c r="F69" t="s">
        <v>103</v>
      </c>
      <c r="G69">
        <v>5</v>
      </c>
      <c r="H69">
        <v>22000</v>
      </c>
      <c r="I69">
        <v>0</v>
      </c>
      <c r="J69" t="s">
        <v>22</v>
      </c>
      <c r="K69">
        <v>110000</v>
      </c>
      <c r="L69">
        <v>79200</v>
      </c>
      <c r="M69">
        <v>30800</v>
      </c>
      <c r="N69">
        <v>0.28000000000000003</v>
      </c>
      <c r="O69">
        <v>8</v>
      </c>
      <c r="P69" t="s">
        <v>98</v>
      </c>
      <c r="Q69">
        <v>2026</v>
      </c>
    </row>
    <row r="70" spans="1:17" x14ac:dyDescent="0.3">
      <c r="A70" t="s">
        <v>182</v>
      </c>
      <c r="B70" s="1">
        <v>46352</v>
      </c>
      <c r="C70" t="s">
        <v>183</v>
      </c>
      <c r="D70" t="s">
        <v>54</v>
      </c>
      <c r="E70" t="s">
        <v>26</v>
      </c>
      <c r="F70" t="s">
        <v>97</v>
      </c>
      <c r="G70">
        <v>4</v>
      </c>
      <c r="H70">
        <v>9000</v>
      </c>
      <c r="I70">
        <v>0.05</v>
      </c>
      <c r="J70" t="s">
        <v>72</v>
      </c>
      <c r="K70">
        <v>34200</v>
      </c>
      <c r="L70">
        <v>23256</v>
      </c>
      <c r="M70">
        <v>10944</v>
      </c>
      <c r="N70">
        <v>0.32</v>
      </c>
      <c r="O70">
        <v>11</v>
      </c>
      <c r="P70" t="s">
        <v>23</v>
      </c>
      <c r="Q70">
        <v>2026</v>
      </c>
    </row>
    <row r="71" spans="1:17" x14ac:dyDescent="0.3">
      <c r="A71" t="s">
        <v>184</v>
      </c>
      <c r="B71" s="1">
        <v>46131</v>
      </c>
      <c r="C71" t="s">
        <v>185</v>
      </c>
      <c r="D71" t="s">
        <v>32</v>
      </c>
      <c r="E71" t="s">
        <v>26</v>
      </c>
      <c r="F71" t="s">
        <v>51</v>
      </c>
      <c r="G71">
        <v>3</v>
      </c>
      <c r="H71">
        <v>5500</v>
      </c>
      <c r="I71">
        <v>0.1</v>
      </c>
      <c r="J71" t="s">
        <v>22</v>
      </c>
      <c r="K71">
        <v>14850</v>
      </c>
      <c r="L71">
        <v>10098</v>
      </c>
      <c r="M71">
        <v>4752</v>
      </c>
      <c r="N71">
        <v>0.32</v>
      </c>
      <c r="O71">
        <v>4</v>
      </c>
      <c r="P71" t="s">
        <v>104</v>
      </c>
      <c r="Q71">
        <v>2026</v>
      </c>
    </row>
    <row r="72" spans="1:17" x14ac:dyDescent="0.3">
      <c r="A72" t="s">
        <v>186</v>
      </c>
      <c r="B72" s="1">
        <v>46263</v>
      </c>
      <c r="C72" t="s">
        <v>187</v>
      </c>
      <c r="D72" t="s">
        <v>19</v>
      </c>
      <c r="E72" t="s">
        <v>20</v>
      </c>
      <c r="F72" t="s">
        <v>103</v>
      </c>
      <c r="G72">
        <v>1</v>
      </c>
      <c r="H72">
        <v>22000</v>
      </c>
      <c r="I72">
        <v>0.05</v>
      </c>
      <c r="J72" t="s">
        <v>22</v>
      </c>
      <c r="K72">
        <v>20900</v>
      </c>
      <c r="L72">
        <v>15048</v>
      </c>
      <c r="M72">
        <v>5852</v>
      </c>
      <c r="N72">
        <v>0.28000000000000003</v>
      </c>
      <c r="O72">
        <v>8</v>
      </c>
      <c r="P72" t="s">
        <v>98</v>
      </c>
      <c r="Q72">
        <v>2026</v>
      </c>
    </row>
    <row r="73" spans="1:17" x14ac:dyDescent="0.3">
      <c r="A73" t="s">
        <v>188</v>
      </c>
      <c r="B73" s="1">
        <v>46149</v>
      </c>
      <c r="C73" t="s">
        <v>18</v>
      </c>
      <c r="D73" t="s">
        <v>54</v>
      </c>
      <c r="E73" t="s">
        <v>20</v>
      </c>
      <c r="F73" t="s">
        <v>21</v>
      </c>
      <c r="G73">
        <v>5</v>
      </c>
      <c r="H73">
        <v>55000</v>
      </c>
      <c r="I73">
        <v>0.05</v>
      </c>
      <c r="J73" t="s">
        <v>22</v>
      </c>
      <c r="K73">
        <v>261250</v>
      </c>
      <c r="L73">
        <v>188100</v>
      </c>
      <c r="M73">
        <v>73150</v>
      </c>
      <c r="N73">
        <v>0.28000000000000003</v>
      </c>
      <c r="O73">
        <v>5</v>
      </c>
      <c r="P73" t="s">
        <v>52</v>
      </c>
      <c r="Q73">
        <v>2026</v>
      </c>
    </row>
    <row r="74" spans="1:17" x14ac:dyDescent="0.3">
      <c r="A74" t="s">
        <v>189</v>
      </c>
      <c r="B74" s="1">
        <v>46311</v>
      </c>
      <c r="C74" t="s">
        <v>190</v>
      </c>
      <c r="D74" t="s">
        <v>19</v>
      </c>
      <c r="E74" t="s">
        <v>20</v>
      </c>
      <c r="F74" t="s">
        <v>45</v>
      </c>
      <c r="G74">
        <v>3</v>
      </c>
      <c r="H74">
        <v>6000</v>
      </c>
      <c r="I74">
        <v>0.05</v>
      </c>
      <c r="J74" t="s">
        <v>28</v>
      </c>
      <c r="K74">
        <v>17100</v>
      </c>
      <c r="L74">
        <v>12312</v>
      </c>
      <c r="M74">
        <v>4788</v>
      </c>
      <c r="N74">
        <v>0.28000000000000003</v>
      </c>
      <c r="O74">
        <v>10</v>
      </c>
      <c r="P74" t="s">
        <v>29</v>
      </c>
      <c r="Q74">
        <v>2026</v>
      </c>
    </row>
    <row r="75" spans="1:17" x14ac:dyDescent="0.3">
      <c r="A75" t="s">
        <v>191</v>
      </c>
      <c r="B75" s="1">
        <v>46182</v>
      </c>
      <c r="C75" t="s">
        <v>192</v>
      </c>
      <c r="D75" t="s">
        <v>54</v>
      </c>
      <c r="E75" t="s">
        <v>20</v>
      </c>
      <c r="F75" t="s">
        <v>103</v>
      </c>
      <c r="G75">
        <v>1</v>
      </c>
      <c r="H75">
        <v>22000</v>
      </c>
      <c r="I75">
        <v>0.05</v>
      </c>
      <c r="J75" t="s">
        <v>28</v>
      </c>
      <c r="K75">
        <v>20900</v>
      </c>
      <c r="L75">
        <v>15048</v>
      </c>
      <c r="M75">
        <v>5852</v>
      </c>
      <c r="N75">
        <v>0.28000000000000003</v>
      </c>
      <c r="O75">
        <v>6</v>
      </c>
      <c r="P75" t="s">
        <v>61</v>
      </c>
      <c r="Q75">
        <v>2026</v>
      </c>
    </row>
    <row r="76" spans="1:17" x14ac:dyDescent="0.3">
      <c r="A76" t="s">
        <v>193</v>
      </c>
      <c r="B76" s="1">
        <v>46061</v>
      </c>
      <c r="C76" t="s">
        <v>44</v>
      </c>
      <c r="D76" t="s">
        <v>19</v>
      </c>
      <c r="E76" t="s">
        <v>33</v>
      </c>
      <c r="F76" t="s">
        <v>55</v>
      </c>
      <c r="G76">
        <v>1</v>
      </c>
      <c r="H76">
        <v>1800</v>
      </c>
      <c r="I76">
        <v>0.15</v>
      </c>
      <c r="J76" t="s">
        <v>22</v>
      </c>
      <c r="K76">
        <v>1530</v>
      </c>
      <c r="L76">
        <v>948.6</v>
      </c>
      <c r="M76">
        <v>581.4</v>
      </c>
      <c r="N76">
        <v>0.38</v>
      </c>
      <c r="O76">
        <v>2</v>
      </c>
      <c r="P76" t="s">
        <v>42</v>
      </c>
      <c r="Q76">
        <v>2026</v>
      </c>
    </row>
    <row r="77" spans="1:17" x14ac:dyDescent="0.3">
      <c r="A77" t="s">
        <v>194</v>
      </c>
      <c r="B77" s="1">
        <v>46200</v>
      </c>
      <c r="C77" t="s">
        <v>118</v>
      </c>
      <c r="D77" t="s">
        <v>19</v>
      </c>
      <c r="E77" t="s">
        <v>33</v>
      </c>
      <c r="F77" t="s">
        <v>37</v>
      </c>
      <c r="G77">
        <v>3</v>
      </c>
      <c r="H77">
        <v>3200</v>
      </c>
      <c r="I77">
        <v>0</v>
      </c>
      <c r="J77" t="s">
        <v>41</v>
      </c>
      <c r="K77">
        <v>9600</v>
      </c>
      <c r="L77">
        <v>5952</v>
      </c>
      <c r="M77">
        <v>3648</v>
      </c>
      <c r="N77">
        <v>0.38</v>
      </c>
      <c r="O77">
        <v>6</v>
      </c>
      <c r="P77" t="s">
        <v>61</v>
      </c>
      <c r="Q77">
        <v>2026</v>
      </c>
    </row>
    <row r="78" spans="1:17" x14ac:dyDescent="0.3">
      <c r="A78" t="s">
        <v>195</v>
      </c>
      <c r="B78" s="1">
        <v>46273</v>
      </c>
      <c r="C78" t="s">
        <v>169</v>
      </c>
      <c r="D78" t="s">
        <v>54</v>
      </c>
      <c r="E78" t="s">
        <v>20</v>
      </c>
      <c r="F78" t="s">
        <v>45</v>
      </c>
      <c r="G78">
        <v>3</v>
      </c>
      <c r="H78">
        <v>6000</v>
      </c>
      <c r="I78">
        <v>0.15</v>
      </c>
      <c r="J78" t="s">
        <v>28</v>
      </c>
      <c r="K78">
        <v>15300</v>
      </c>
      <c r="L78">
        <v>11016</v>
      </c>
      <c r="M78">
        <v>4284</v>
      </c>
      <c r="N78">
        <v>0.28000000000000003</v>
      </c>
      <c r="O78">
        <v>9</v>
      </c>
      <c r="P78" t="s">
        <v>73</v>
      </c>
      <c r="Q78">
        <v>2026</v>
      </c>
    </row>
    <row r="79" spans="1:17" x14ac:dyDescent="0.3">
      <c r="A79" t="s">
        <v>196</v>
      </c>
      <c r="B79" s="1">
        <v>46290</v>
      </c>
      <c r="C79" t="s">
        <v>197</v>
      </c>
      <c r="D79" t="s">
        <v>54</v>
      </c>
      <c r="E79" t="s">
        <v>33</v>
      </c>
      <c r="F79" t="s">
        <v>121</v>
      </c>
      <c r="G79">
        <v>5</v>
      </c>
      <c r="H79">
        <v>900</v>
      </c>
      <c r="I79">
        <v>0.1</v>
      </c>
      <c r="J79" t="s">
        <v>72</v>
      </c>
      <c r="K79">
        <v>4050</v>
      </c>
      <c r="L79">
        <v>2511</v>
      </c>
      <c r="M79">
        <v>1539</v>
      </c>
      <c r="N79">
        <v>0.38</v>
      </c>
      <c r="O79">
        <v>9</v>
      </c>
      <c r="P79" t="s">
        <v>73</v>
      </c>
      <c r="Q79">
        <v>2026</v>
      </c>
    </row>
    <row r="80" spans="1:17" x14ac:dyDescent="0.3">
      <c r="A80" t="s">
        <v>198</v>
      </c>
      <c r="B80" s="1">
        <v>46188</v>
      </c>
      <c r="C80" t="s">
        <v>199</v>
      </c>
      <c r="D80" t="s">
        <v>54</v>
      </c>
      <c r="E80" t="s">
        <v>20</v>
      </c>
      <c r="F80" t="s">
        <v>21</v>
      </c>
      <c r="G80">
        <v>3</v>
      </c>
      <c r="H80">
        <v>55000</v>
      </c>
      <c r="I80">
        <v>0.1</v>
      </c>
      <c r="J80" t="s">
        <v>72</v>
      </c>
      <c r="K80">
        <v>148500</v>
      </c>
      <c r="L80">
        <v>106920</v>
      </c>
      <c r="M80">
        <v>41580</v>
      </c>
      <c r="N80">
        <v>0.28000000000000003</v>
      </c>
      <c r="O80">
        <v>6</v>
      </c>
      <c r="P80" t="s">
        <v>61</v>
      </c>
      <c r="Q80">
        <v>2026</v>
      </c>
    </row>
    <row r="81" spans="1:17" x14ac:dyDescent="0.3">
      <c r="A81" t="s">
        <v>200</v>
      </c>
      <c r="B81" s="1">
        <v>46037</v>
      </c>
      <c r="C81" t="s">
        <v>201</v>
      </c>
      <c r="D81" t="s">
        <v>32</v>
      </c>
      <c r="E81" t="s">
        <v>26</v>
      </c>
      <c r="F81" t="s">
        <v>51</v>
      </c>
      <c r="G81">
        <v>2</v>
      </c>
      <c r="H81">
        <v>5500</v>
      </c>
      <c r="I81">
        <v>0.1</v>
      </c>
      <c r="J81" t="s">
        <v>72</v>
      </c>
      <c r="K81">
        <v>9900</v>
      </c>
      <c r="L81">
        <v>6732</v>
      </c>
      <c r="M81">
        <v>3168</v>
      </c>
      <c r="N81">
        <v>0.32</v>
      </c>
      <c r="O81">
        <v>1</v>
      </c>
      <c r="P81" t="s">
        <v>92</v>
      </c>
      <c r="Q81">
        <v>2026</v>
      </c>
    </row>
    <row r="82" spans="1:17" x14ac:dyDescent="0.3">
      <c r="A82" t="s">
        <v>202</v>
      </c>
      <c r="B82" s="1">
        <v>46166</v>
      </c>
      <c r="C82" t="s">
        <v>203</v>
      </c>
      <c r="D82" t="s">
        <v>19</v>
      </c>
      <c r="E82" t="s">
        <v>33</v>
      </c>
      <c r="F82" t="s">
        <v>121</v>
      </c>
      <c r="G82">
        <v>5</v>
      </c>
      <c r="H82">
        <v>900</v>
      </c>
      <c r="I82">
        <v>0</v>
      </c>
      <c r="J82" t="s">
        <v>28</v>
      </c>
      <c r="K82">
        <v>4500</v>
      </c>
      <c r="L82">
        <v>2790</v>
      </c>
      <c r="M82">
        <v>1710</v>
      </c>
      <c r="N82">
        <v>0.38</v>
      </c>
      <c r="O82">
        <v>5</v>
      </c>
      <c r="P82" t="s">
        <v>52</v>
      </c>
      <c r="Q82">
        <v>2026</v>
      </c>
    </row>
    <row r="83" spans="1:17" x14ac:dyDescent="0.3">
      <c r="A83" t="s">
        <v>204</v>
      </c>
      <c r="B83" s="1">
        <v>46231</v>
      </c>
      <c r="C83" t="s">
        <v>197</v>
      </c>
      <c r="D83" t="s">
        <v>54</v>
      </c>
      <c r="E83" t="s">
        <v>26</v>
      </c>
      <c r="F83" t="s">
        <v>71</v>
      </c>
      <c r="G83">
        <v>2</v>
      </c>
      <c r="H83">
        <v>1800</v>
      </c>
      <c r="I83">
        <v>0.15</v>
      </c>
      <c r="J83" t="s">
        <v>22</v>
      </c>
      <c r="K83">
        <v>3060</v>
      </c>
      <c r="L83">
        <v>2080.8000000000002</v>
      </c>
      <c r="M83">
        <v>979.2</v>
      </c>
      <c r="N83">
        <v>0.32</v>
      </c>
      <c r="O83">
        <v>7</v>
      </c>
      <c r="P83" t="s">
        <v>63</v>
      </c>
      <c r="Q83">
        <v>2026</v>
      </c>
    </row>
    <row r="84" spans="1:17" x14ac:dyDescent="0.3">
      <c r="A84" t="s">
        <v>205</v>
      </c>
      <c r="B84" s="1">
        <v>46070</v>
      </c>
      <c r="C84" t="s">
        <v>142</v>
      </c>
      <c r="D84" t="s">
        <v>32</v>
      </c>
      <c r="E84" t="s">
        <v>26</v>
      </c>
      <c r="F84" t="s">
        <v>97</v>
      </c>
      <c r="G84">
        <v>4</v>
      </c>
      <c r="H84">
        <v>9000</v>
      </c>
      <c r="I84">
        <v>0.15</v>
      </c>
      <c r="J84" t="s">
        <v>41</v>
      </c>
      <c r="K84">
        <v>30600</v>
      </c>
      <c r="L84">
        <v>20808</v>
      </c>
      <c r="M84">
        <v>9792</v>
      </c>
      <c r="N84">
        <v>0.32</v>
      </c>
      <c r="O84">
        <v>2</v>
      </c>
      <c r="P84" t="s">
        <v>42</v>
      </c>
      <c r="Q84">
        <v>2026</v>
      </c>
    </row>
    <row r="85" spans="1:17" x14ac:dyDescent="0.3">
      <c r="A85" t="s">
        <v>206</v>
      </c>
      <c r="B85" s="1">
        <v>46306</v>
      </c>
      <c r="C85" t="s">
        <v>207</v>
      </c>
      <c r="D85" t="s">
        <v>32</v>
      </c>
      <c r="E85" t="s">
        <v>33</v>
      </c>
      <c r="F85" t="s">
        <v>121</v>
      </c>
      <c r="G85">
        <v>4</v>
      </c>
      <c r="H85">
        <v>900</v>
      </c>
      <c r="I85">
        <v>0.15</v>
      </c>
      <c r="J85" t="s">
        <v>41</v>
      </c>
      <c r="K85">
        <v>3060</v>
      </c>
      <c r="L85">
        <v>1897.2</v>
      </c>
      <c r="M85">
        <v>1162.8</v>
      </c>
      <c r="N85">
        <v>0.38</v>
      </c>
      <c r="O85">
        <v>10</v>
      </c>
      <c r="P85" t="s">
        <v>29</v>
      </c>
      <c r="Q85">
        <v>2026</v>
      </c>
    </row>
    <row r="86" spans="1:17" x14ac:dyDescent="0.3">
      <c r="A86" t="s">
        <v>208</v>
      </c>
      <c r="B86" s="1">
        <v>46161</v>
      </c>
      <c r="C86" t="s">
        <v>201</v>
      </c>
      <c r="D86" t="s">
        <v>19</v>
      </c>
      <c r="E86" t="s">
        <v>26</v>
      </c>
      <c r="F86" t="s">
        <v>51</v>
      </c>
      <c r="G86">
        <v>2</v>
      </c>
      <c r="H86">
        <v>5500</v>
      </c>
      <c r="I86">
        <v>0</v>
      </c>
      <c r="J86" t="s">
        <v>28</v>
      </c>
      <c r="K86">
        <v>11000</v>
      </c>
      <c r="L86">
        <v>7480</v>
      </c>
      <c r="M86">
        <v>3520</v>
      </c>
      <c r="N86">
        <v>0.32</v>
      </c>
      <c r="O86">
        <v>5</v>
      </c>
      <c r="P86" t="s">
        <v>52</v>
      </c>
      <c r="Q86">
        <v>2026</v>
      </c>
    </row>
    <row r="87" spans="1:17" x14ac:dyDescent="0.3">
      <c r="A87" t="s">
        <v>209</v>
      </c>
      <c r="B87" s="1">
        <v>46121</v>
      </c>
      <c r="C87" t="s">
        <v>89</v>
      </c>
      <c r="D87" t="s">
        <v>32</v>
      </c>
      <c r="E87" t="s">
        <v>20</v>
      </c>
      <c r="F87" t="s">
        <v>45</v>
      </c>
      <c r="G87">
        <v>3</v>
      </c>
      <c r="H87">
        <v>6000</v>
      </c>
      <c r="I87">
        <v>0.15</v>
      </c>
      <c r="J87" t="s">
        <v>22</v>
      </c>
      <c r="K87">
        <v>15300</v>
      </c>
      <c r="L87">
        <v>11016</v>
      </c>
      <c r="M87">
        <v>4284</v>
      </c>
      <c r="N87">
        <v>0.28000000000000003</v>
      </c>
      <c r="O87">
        <v>4</v>
      </c>
      <c r="P87" t="s">
        <v>104</v>
      </c>
      <c r="Q87">
        <v>2026</v>
      </c>
    </row>
    <row r="88" spans="1:17" x14ac:dyDescent="0.3">
      <c r="A88" t="s">
        <v>210</v>
      </c>
      <c r="B88" s="1">
        <v>46122</v>
      </c>
      <c r="C88" t="s">
        <v>211</v>
      </c>
      <c r="D88" t="s">
        <v>58</v>
      </c>
      <c r="E88" t="s">
        <v>26</v>
      </c>
      <c r="F88" t="s">
        <v>97</v>
      </c>
      <c r="G88">
        <v>3</v>
      </c>
      <c r="H88">
        <v>9000</v>
      </c>
      <c r="I88">
        <v>0.05</v>
      </c>
      <c r="J88" t="s">
        <v>72</v>
      </c>
      <c r="K88">
        <v>25650</v>
      </c>
      <c r="L88">
        <v>17442</v>
      </c>
      <c r="M88">
        <v>8208</v>
      </c>
      <c r="N88">
        <v>0.32</v>
      </c>
      <c r="O88">
        <v>4</v>
      </c>
      <c r="P88" t="s">
        <v>104</v>
      </c>
      <c r="Q88">
        <v>2026</v>
      </c>
    </row>
    <row r="89" spans="1:17" x14ac:dyDescent="0.3">
      <c r="A89" t="s">
        <v>212</v>
      </c>
      <c r="B89" s="1">
        <v>46046</v>
      </c>
      <c r="C89" t="s">
        <v>167</v>
      </c>
      <c r="D89" t="s">
        <v>19</v>
      </c>
      <c r="E89" t="s">
        <v>20</v>
      </c>
      <c r="F89" t="s">
        <v>103</v>
      </c>
      <c r="G89">
        <v>3</v>
      </c>
      <c r="H89">
        <v>22000</v>
      </c>
      <c r="I89">
        <v>0.15</v>
      </c>
      <c r="J89" t="s">
        <v>22</v>
      </c>
      <c r="K89">
        <v>56100</v>
      </c>
      <c r="L89">
        <v>40392</v>
      </c>
      <c r="M89">
        <v>15708</v>
      </c>
      <c r="N89">
        <v>0.28000000000000003</v>
      </c>
      <c r="O89">
        <v>1</v>
      </c>
      <c r="P89" t="s">
        <v>92</v>
      </c>
      <c r="Q89">
        <v>2026</v>
      </c>
    </row>
    <row r="90" spans="1:17" x14ac:dyDescent="0.3">
      <c r="A90" t="s">
        <v>213</v>
      </c>
      <c r="B90" s="1">
        <v>46316</v>
      </c>
      <c r="C90" t="s">
        <v>214</v>
      </c>
      <c r="D90" t="s">
        <v>19</v>
      </c>
      <c r="E90" t="s">
        <v>26</v>
      </c>
      <c r="F90" t="s">
        <v>76</v>
      </c>
      <c r="G90">
        <v>4</v>
      </c>
      <c r="H90">
        <v>24000</v>
      </c>
      <c r="I90">
        <v>0.1</v>
      </c>
      <c r="J90" t="s">
        <v>72</v>
      </c>
      <c r="K90">
        <v>86400</v>
      </c>
      <c r="L90">
        <v>58752</v>
      </c>
      <c r="M90">
        <v>27648</v>
      </c>
      <c r="N90">
        <v>0.32</v>
      </c>
      <c r="O90">
        <v>10</v>
      </c>
      <c r="P90" t="s">
        <v>29</v>
      </c>
      <c r="Q90">
        <v>2026</v>
      </c>
    </row>
    <row r="91" spans="1:17" x14ac:dyDescent="0.3">
      <c r="A91" t="s">
        <v>215</v>
      </c>
      <c r="B91" s="1">
        <v>46267</v>
      </c>
      <c r="C91" t="s">
        <v>216</v>
      </c>
      <c r="D91" t="s">
        <v>19</v>
      </c>
      <c r="E91" t="s">
        <v>20</v>
      </c>
      <c r="F91" t="s">
        <v>21</v>
      </c>
      <c r="G91">
        <v>4</v>
      </c>
      <c r="H91">
        <v>55000</v>
      </c>
      <c r="I91">
        <v>0.1</v>
      </c>
      <c r="J91" t="s">
        <v>28</v>
      </c>
      <c r="K91">
        <v>198000</v>
      </c>
      <c r="L91">
        <v>142560</v>
      </c>
      <c r="M91">
        <v>55440</v>
      </c>
      <c r="N91">
        <v>0.28000000000000003</v>
      </c>
      <c r="O91">
        <v>9</v>
      </c>
      <c r="P91" t="s">
        <v>73</v>
      </c>
      <c r="Q91">
        <v>2026</v>
      </c>
    </row>
    <row r="92" spans="1:17" x14ac:dyDescent="0.3">
      <c r="A92" t="s">
        <v>217</v>
      </c>
      <c r="B92" s="1">
        <v>46099</v>
      </c>
      <c r="C92" t="s">
        <v>70</v>
      </c>
      <c r="D92" t="s">
        <v>54</v>
      </c>
      <c r="E92" t="s">
        <v>33</v>
      </c>
      <c r="F92" t="s">
        <v>121</v>
      </c>
      <c r="G92">
        <v>1</v>
      </c>
      <c r="H92">
        <v>900</v>
      </c>
      <c r="I92">
        <v>0.05</v>
      </c>
      <c r="J92" t="s">
        <v>28</v>
      </c>
      <c r="K92">
        <v>855</v>
      </c>
      <c r="L92">
        <v>530.1</v>
      </c>
      <c r="M92">
        <v>324.89999999999998</v>
      </c>
      <c r="N92">
        <v>0.37999999999999989</v>
      </c>
      <c r="O92">
        <v>3</v>
      </c>
      <c r="P92" t="s">
        <v>38</v>
      </c>
      <c r="Q92">
        <v>2026</v>
      </c>
    </row>
    <row r="93" spans="1:17" x14ac:dyDescent="0.3">
      <c r="A93" t="s">
        <v>218</v>
      </c>
      <c r="B93" s="1">
        <v>46290</v>
      </c>
      <c r="C93" t="s">
        <v>192</v>
      </c>
      <c r="D93" t="s">
        <v>32</v>
      </c>
      <c r="E93" t="s">
        <v>26</v>
      </c>
      <c r="F93" t="s">
        <v>76</v>
      </c>
      <c r="G93">
        <v>4</v>
      </c>
      <c r="H93">
        <v>24000</v>
      </c>
      <c r="I93">
        <v>0.05</v>
      </c>
      <c r="J93" t="s">
        <v>22</v>
      </c>
      <c r="K93">
        <v>91200</v>
      </c>
      <c r="L93">
        <v>62016</v>
      </c>
      <c r="M93">
        <v>29184</v>
      </c>
      <c r="N93">
        <v>0.32</v>
      </c>
      <c r="O93">
        <v>9</v>
      </c>
      <c r="P93" t="s">
        <v>73</v>
      </c>
      <c r="Q93">
        <v>2026</v>
      </c>
    </row>
    <row r="94" spans="1:17" x14ac:dyDescent="0.3">
      <c r="A94" t="s">
        <v>219</v>
      </c>
      <c r="B94" s="1">
        <v>46335</v>
      </c>
      <c r="C94" t="s">
        <v>151</v>
      </c>
      <c r="D94" t="s">
        <v>19</v>
      </c>
      <c r="E94" t="s">
        <v>33</v>
      </c>
      <c r="F94" t="s">
        <v>83</v>
      </c>
      <c r="G94">
        <v>2</v>
      </c>
      <c r="H94">
        <v>2500</v>
      </c>
      <c r="I94">
        <v>0.15</v>
      </c>
      <c r="J94" t="s">
        <v>28</v>
      </c>
      <c r="K94">
        <v>4250</v>
      </c>
      <c r="L94">
        <v>2635</v>
      </c>
      <c r="M94">
        <v>1615</v>
      </c>
      <c r="N94">
        <v>0.38</v>
      </c>
      <c r="O94">
        <v>11</v>
      </c>
      <c r="P94" t="s">
        <v>23</v>
      </c>
      <c r="Q94">
        <v>2026</v>
      </c>
    </row>
    <row r="95" spans="1:17" x14ac:dyDescent="0.3">
      <c r="A95" t="s">
        <v>220</v>
      </c>
      <c r="B95" s="1">
        <v>46145</v>
      </c>
      <c r="C95" t="s">
        <v>221</v>
      </c>
      <c r="D95" t="s">
        <v>54</v>
      </c>
      <c r="E95" t="s">
        <v>20</v>
      </c>
      <c r="F95" t="s">
        <v>103</v>
      </c>
      <c r="G95">
        <v>1</v>
      </c>
      <c r="H95">
        <v>22000</v>
      </c>
      <c r="I95">
        <v>0.05</v>
      </c>
      <c r="J95" t="s">
        <v>41</v>
      </c>
      <c r="K95">
        <v>20900</v>
      </c>
      <c r="L95">
        <v>15048</v>
      </c>
      <c r="M95">
        <v>5852</v>
      </c>
      <c r="N95">
        <v>0.28000000000000003</v>
      </c>
      <c r="O95">
        <v>5</v>
      </c>
      <c r="P95" t="s">
        <v>52</v>
      </c>
      <c r="Q95">
        <v>2026</v>
      </c>
    </row>
    <row r="96" spans="1:17" x14ac:dyDescent="0.3">
      <c r="A96" t="s">
        <v>222</v>
      </c>
      <c r="B96" s="1">
        <v>46172</v>
      </c>
      <c r="C96" t="s">
        <v>223</v>
      </c>
      <c r="D96" t="s">
        <v>19</v>
      </c>
      <c r="E96" t="s">
        <v>20</v>
      </c>
      <c r="F96" t="s">
        <v>68</v>
      </c>
      <c r="G96">
        <v>3</v>
      </c>
      <c r="H96">
        <v>28000</v>
      </c>
      <c r="I96">
        <v>0.15</v>
      </c>
      <c r="J96" t="s">
        <v>28</v>
      </c>
      <c r="K96">
        <v>71400</v>
      </c>
      <c r="L96">
        <v>51408</v>
      </c>
      <c r="M96">
        <v>19992</v>
      </c>
      <c r="N96">
        <v>0.28000000000000003</v>
      </c>
      <c r="O96">
        <v>5</v>
      </c>
      <c r="P96" t="s">
        <v>52</v>
      </c>
      <c r="Q96">
        <v>2026</v>
      </c>
    </row>
    <row r="97" spans="1:17" x14ac:dyDescent="0.3">
      <c r="A97" t="s">
        <v>224</v>
      </c>
      <c r="B97" s="1">
        <v>46158</v>
      </c>
      <c r="C97" t="s">
        <v>70</v>
      </c>
      <c r="D97" t="s">
        <v>58</v>
      </c>
      <c r="E97" t="s">
        <v>33</v>
      </c>
      <c r="F97" t="s">
        <v>34</v>
      </c>
      <c r="G97">
        <v>2</v>
      </c>
      <c r="H97">
        <v>2200</v>
      </c>
      <c r="I97">
        <v>0.1</v>
      </c>
      <c r="J97" t="s">
        <v>28</v>
      </c>
      <c r="K97">
        <v>3960</v>
      </c>
      <c r="L97">
        <v>2455.1999999999998</v>
      </c>
      <c r="M97">
        <v>1504.8</v>
      </c>
      <c r="N97">
        <v>0.38</v>
      </c>
      <c r="O97">
        <v>5</v>
      </c>
      <c r="P97" t="s">
        <v>52</v>
      </c>
      <c r="Q97">
        <v>2026</v>
      </c>
    </row>
    <row r="98" spans="1:17" x14ac:dyDescent="0.3">
      <c r="A98" t="s">
        <v>225</v>
      </c>
      <c r="B98" s="1">
        <v>46159</v>
      </c>
      <c r="C98" t="s">
        <v>44</v>
      </c>
      <c r="D98" t="s">
        <v>32</v>
      </c>
      <c r="E98" t="s">
        <v>20</v>
      </c>
      <c r="F98" t="s">
        <v>21</v>
      </c>
      <c r="G98">
        <v>1</v>
      </c>
      <c r="H98">
        <v>55000</v>
      </c>
      <c r="I98">
        <v>0.05</v>
      </c>
      <c r="J98" t="s">
        <v>41</v>
      </c>
      <c r="K98">
        <v>52250</v>
      </c>
      <c r="L98">
        <v>37620</v>
      </c>
      <c r="M98">
        <v>14630</v>
      </c>
      <c r="N98">
        <v>0.28000000000000003</v>
      </c>
      <c r="O98">
        <v>5</v>
      </c>
      <c r="P98" t="s">
        <v>52</v>
      </c>
      <c r="Q98">
        <v>2026</v>
      </c>
    </row>
    <row r="99" spans="1:17" x14ac:dyDescent="0.3">
      <c r="A99" t="s">
        <v>226</v>
      </c>
      <c r="B99" s="1">
        <v>46086</v>
      </c>
      <c r="C99" t="s">
        <v>227</v>
      </c>
      <c r="D99" t="s">
        <v>54</v>
      </c>
      <c r="E99" t="s">
        <v>26</v>
      </c>
      <c r="F99" t="s">
        <v>51</v>
      </c>
      <c r="G99">
        <v>4</v>
      </c>
      <c r="H99">
        <v>5500</v>
      </c>
      <c r="I99">
        <v>0.05</v>
      </c>
      <c r="J99" t="s">
        <v>41</v>
      </c>
      <c r="K99">
        <v>20900</v>
      </c>
      <c r="L99">
        <v>14212</v>
      </c>
      <c r="M99">
        <v>6688</v>
      </c>
      <c r="N99">
        <v>0.32</v>
      </c>
      <c r="O99">
        <v>3</v>
      </c>
      <c r="P99" t="s">
        <v>38</v>
      </c>
      <c r="Q99">
        <v>2026</v>
      </c>
    </row>
    <row r="100" spans="1:17" x14ac:dyDescent="0.3">
      <c r="A100" t="s">
        <v>228</v>
      </c>
      <c r="B100" s="1">
        <v>46064</v>
      </c>
      <c r="C100" t="s">
        <v>229</v>
      </c>
      <c r="D100" t="s">
        <v>32</v>
      </c>
      <c r="E100" t="s">
        <v>33</v>
      </c>
      <c r="F100" t="s">
        <v>83</v>
      </c>
      <c r="G100">
        <v>4</v>
      </c>
      <c r="H100">
        <v>2500</v>
      </c>
      <c r="I100">
        <v>0.15</v>
      </c>
      <c r="J100" t="s">
        <v>22</v>
      </c>
      <c r="K100">
        <v>8500</v>
      </c>
      <c r="L100">
        <v>5270</v>
      </c>
      <c r="M100">
        <v>3230</v>
      </c>
      <c r="N100">
        <v>0.38</v>
      </c>
      <c r="O100">
        <v>2</v>
      </c>
      <c r="P100" t="s">
        <v>42</v>
      </c>
      <c r="Q100">
        <v>2026</v>
      </c>
    </row>
    <row r="101" spans="1:17" x14ac:dyDescent="0.3">
      <c r="A101" t="s">
        <v>230</v>
      </c>
      <c r="B101" s="1">
        <v>46069</v>
      </c>
      <c r="C101" t="s">
        <v>231</v>
      </c>
      <c r="D101" t="s">
        <v>19</v>
      </c>
      <c r="E101" t="s">
        <v>20</v>
      </c>
      <c r="F101" t="s">
        <v>103</v>
      </c>
      <c r="G101">
        <v>5</v>
      </c>
      <c r="H101">
        <v>22000</v>
      </c>
      <c r="I101">
        <v>0</v>
      </c>
      <c r="J101" t="s">
        <v>28</v>
      </c>
      <c r="K101">
        <v>110000</v>
      </c>
      <c r="L101">
        <v>79200</v>
      </c>
      <c r="M101">
        <v>30800</v>
      </c>
      <c r="N101">
        <v>0.28000000000000003</v>
      </c>
      <c r="O101">
        <v>2</v>
      </c>
      <c r="P101" t="s">
        <v>42</v>
      </c>
      <c r="Q101">
        <v>2026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83CA-4E7C-4D19-92A2-7C3115A017D6}">
  <dimension ref="A1:Q30"/>
  <sheetViews>
    <sheetView workbookViewId="0">
      <selection activeCell="A3" sqref="A3:Q30"/>
    </sheetView>
  </sheetViews>
  <sheetFormatPr defaultRowHeight="14.4" x14ac:dyDescent="0.3"/>
  <cols>
    <col min="1" max="1" width="10.77734375" bestFit="1" customWidth="1"/>
    <col min="2" max="2" width="12.88671875" bestFit="1" customWidth="1"/>
    <col min="3" max="3" width="17.44140625" bestFit="1" customWidth="1"/>
    <col min="4" max="4" width="9" bestFit="1" customWidth="1"/>
    <col min="5" max="5" width="10.77734375" bestFit="1" customWidth="1"/>
    <col min="6" max="6" width="11.5546875" bestFit="1" customWidth="1"/>
    <col min="7" max="7" width="10.5546875" bestFit="1" customWidth="1"/>
    <col min="8" max="8" width="11.88671875" bestFit="1" customWidth="1"/>
    <col min="9" max="9" width="10.5546875" bestFit="1" customWidth="1"/>
    <col min="10" max="10" width="16.88671875" bestFit="1" customWidth="1"/>
    <col min="11" max="13" width="9" bestFit="1" customWidth="1"/>
    <col min="14" max="14" width="10.33203125" bestFit="1" customWidth="1"/>
    <col min="15" max="15" width="9" bestFit="1" customWidth="1"/>
    <col min="16" max="16" width="15" bestFit="1" customWidth="1"/>
    <col min="17" max="17" width="9" bestFit="1" customWidth="1"/>
  </cols>
  <sheetData>
    <row r="1" spans="1:17" x14ac:dyDescent="0.3">
      <c r="A1" s="6" t="s">
        <v>243</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17</v>
      </c>
      <c r="B4" s="5">
        <v>46350</v>
      </c>
      <c r="C4" t="s">
        <v>18</v>
      </c>
      <c r="D4" t="s">
        <v>19</v>
      </c>
      <c r="E4" t="s">
        <v>20</v>
      </c>
      <c r="F4" t="s">
        <v>21</v>
      </c>
      <c r="G4">
        <v>3</v>
      </c>
      <c r="H4">
        <v>55000</v>
      </c>
      <c r="I4">
        <v>0.05</v>
      </c>
      <c r="J4" t="s">
        <v>22</v>
      </c>
      <c r="K4">
        <v>156750</v>
      </c>
      <c r="L4">
        <v>112860</v>
      </c>
      <c r="M4">
        <v>43890</v>
      </c>
      <c r="N4">
        <v>0.28000000000000003</v>
      </c>
      <c r="O4">
        <v>11</v>
      </c>
      <c r="P4" t="s">
        <v>23</v>
      </c>
      <c r="Q4">
        <v>2026</v>
      </c>
    </row>
    <row r="5" spans="1:17" x14ac:dyDescent="0.3">
      <c r="A5" t="s">
        <v>24</v>
      </c>
      <c r="B5" s="5">
        <v>46325</v>
      </c>
      <c r="C5" t="s">
        <v>25</v>
      </c>
      <c r="D5" t="s">
        <v>19</v>
      </c>
      <c r="E5" t="s">
        <v>26</v>
      </c>
      <c r="F5" t="s">
        <v>27</v>
      </c>
      <c r="G5">
        <v>1</v>
      </c>
      <c r="H5">
        <v>7000</v>
      </c>
      <c r="I5">
        <v>0</v>
      </c>
      <c r="J5" t="s">
        <v>28</v>
      </c>
      <c r="K5">
        <v>7000</v>
      </c>
      <c r="L5">
        <v>4760</v>
      </c>
      <c r="M5">
        <v>2240</v>
      </c>
      <c r="N5">
        <v>0.32</v>
      </c>
      <c r="O5">
        <v>10</v>
      </c>
      <c r="P5" t="s">
        <v>29</v>
      </c>
      <c r="Q5">
        <v>2026</v>
      </c>
    </row>
    <row r="6" spans="1:17" x14ac:dyDescent="0.3">
      <c r="A6" t="s">
        <v>230</v>
      </c>
      <c r="B6" s="5">
        <v>46069</v>
      </c>
      <c r="C6" t="s">
        <v>231</v>
      </c>
      <c r="D6" t="s">
        <v>19</v>
      </c>
      <c r="E6" t="s">
        <v>20</v>
      </c>
      <c r="F6" t="s">
        <v>103</v>
      </c>
      <c r="G6">
        <v>5</v>
      </c>
      <c r="H6">
        <v>22000</v>
      </c>
      <c r="I6">
        <v>0</v>
      </c>
      <c r="J6" t="s">
        <v>28</v>
      </c>
      <c r="K6">
        <v>110000</v>
      </c>
      <c r="L6">
        <v>79200</v>
      </c>
      <c r="M6">
        <v>30800</v>
      </c>
      <c r="N6">
        <v>0.28000000000000003</v>
      </c>
      <c r="O6">
        <v>2</v>
      </c>
      <c r="P6" t="s">
        <v>42</v>
      </c>
      <c r="Q6">
        <v>2026</v>
      </c>
    </row>
    <row r="7" spans="1:17" x14ac:dyDescent="0.3">
      <c r="A7" t="s">
        <v>222</v>
      </c>
      <c r="B7" s="5">
        <v>46172</v>
      </c>
      <c r="C7" t="s">
        <v>223</v>
      </c>
      <c r="D7" t="s">
        <v>19</v>
      </c>
      <c r="E7" t="s">
        <v>20</v>
      </c>
      <c r="F7" t="s">
        <v>68</v>
      </c>
      <c r="G7">
        <v>3</v>
      </c>
      <c r="H7">
        <v>28000</v>
      </c>
      <c r="I7">
        <v>0.15</v>
      </c>
      <c r="J7" t="s">
        <v>28</v>
      </c>
      <c r="K7">
        <v>71400</v>
      </c>
      <c r="L7">
        <v>51408</v>
      </c>
      <c r="M7">
        <v>19992</v>
      </c>
      <c r="N7">
        <v>0.28000000000000003</v>
      </c>
      <c r="O7">
        <v>5</v>
      </c>
      <c r="P7" t="s">
        <v>52</v>
      </c>
      <c r="Q7">
        <v>2026</v>
      </c>
    </row>
    <row r="8" spans="1:17" x14ac:dyDescent="0.3">
      <c r="A8" t="s">
        <v>39</v>
      </c>
      <c r="B8" s="5">
        <v>46070</v>
      </c>
      <c r="C8" t="s">
        <v>40</v>
      </c>
      <c r="D8" t="s">
        <v>19</v>
      </c>
      <c r="E8" t="s">
        <v>26</v>
      </c>
      <c r="F8" t="s">
        <v>27</v>
      </c>
      <c r="G8">
        <v>3</v>
      </c>
      <c r="H8">
        <v>7000</v>
      </c>
      <c r="I8">
        <v>0.05</v>
      </c>
      <c r="J8" t="s">
        <v>41</v>
      </c>
      <c r="K8">
        <v>19950</v>
      </c>
      <c r="L8">
        <v>13566</v>
      </c>
      <c r="M8">
        <v>6384</v>
      </c>
      <c r="N8">
        <v>0.32</v>
      </c>
      <c r="O8">
        <v>2</v>
      </c>
      <c r="P8" t="s">
        <v>42</v>
      </c>
      <c r="Q8">
        <v>2026</v>
      </c>
    </row>
    <row r="9" spans="1:17" x14ac:dyDescent="0.3">
      <c r="A9" t="s">
        <v>219</v>
      </c>
      <c r="B9" s="5">
        <v>46335</v>
      </c>
      <c r="C9" t="s">
        <v>151</v>
      </c>
      <c r="D9" t="s">
        <v>19</v>
      </c>
      <c r="E9" t="s">
        <v>33</v>
      </c>
      <c r="F9" t="s">
        <v>83</v>
      </c>
      <c r="G9">
        <v>2</v>
      </c>
      <c r="H9">
        <v>2500</v>
      </c>
      <c r="I9">
        <v>0.15</v>
      </c>
      <c r="J9" t="s">
        <v>28</v>
      </c>
      <c r="K9">
        <v>4250</v>
      </c>
      <c r="L9">
        <v>2635</v>
      </c>
      <c r="M9">
        <v>1615</v>
      </c>
      <c r="N9">
        <v>0.38</v>
      </c>
      <c r="O9">
        <v>11</v>
      </c>
      <c r="P9" t="s">
        <v>23</v>
      </c>
      <c r="Q9">
        <v>2026</v>
      </c>
    </row>
    <row r="10" spans="1:17" x14ac:dyDescent="0.3">
      <c r="A10" t="s">
        <v>46</v>
      </c>
      <c r="B10" s="5">
        <v>46383</v>
      </c>
      <c r="C10" t="s">
        <v>47</v>
      </c>
      <c r="D10" t="s">
        <v>19</v>
      </c>
      <c r="E10" t="s">
        <v>20</v>
      </c>
      <c r="F10" t="s">
        <v>21</v>
      </c>
      <c r="G10">
        <v>2</v>
      </c>
      <c r="H10">
        <v>55000</v>
      </c>
      <c r="I10">
        <v>0.05</v>
      </c>
      <c r="J10" t="s">
        <v>41</v>
      </c>
      <c r="K10">
        <v>104500</v>
      </c>
      <c r="L10">
        <v>75240</v>
      </c>
      <c r="M10">
        <v>29260</v>
      </c>
      <c r="N10">
        <v>0.28000000000000003</v>
      </c>
      <c r="O10">
        <v>12</v>
      </c>
      <c r="P10" t="s">
        <v>48</v>
      </c>
      <c r="Q10">
        <v>2026</v>
      </c>
    </row>
    <row r="11" spans="1:17" x14ac:dyDescent="0.3">
      <c r="A11" t="s">
        <v>215</v>
      </c>
      <c r="B11" s="5">
        <v>46267</v>
      </c>
      <c r="C11" t="s">
        <v>216</v>
      </c>
      <c r="D11" t="s">
        <v>19</v>
      </c>
      <c r="E11" t="s">
        <v>20</v>
      </c>
      <c r="F11" t="s">
        <v>21</v>
      </c>
      <c r="G11">
        <v>4</v>
      </c>
      <c r="H11">
        <v>55000</v>
      </c>
      <c r="I11">
        <v>0.1</v>
      </c>
      <c r="J11" t="s">
        <v>28</v>
      </c>
      <c r="K11">
        <v>198000</v>
      </c>
      <c r="L11">
        <v>142560</v>
      </c>
      <c r="M11">
        <v>55440</v>
      </c>
      <c r="N11">
        <v>0.28000000000000003</v>
      </c>
      <c r="O11">
        <v>9</v>
      </c>
      <c r="P11" t="s">
        <v>73</v>
      </c>
      <c r="Q11">
        <v>2026</v>
      </c>
    </row>
    <row r="12" spans="1:17" x14ac:dyDescent="0.3">
      <c r="A12" t="s">
        <v>213</v>
      </c>
      <c r="B12" s="5">
        <v>46316</v>
      </c>
      <c r="C12" t="s">
        <v>214</v>
      </c>
      <c r="D12" t="s">
        <v>19</v>
      </c>
      <c r="E12" t="s">
        <v>26</v>
      </c>
      <c r="F12" t="s">
        <v>76</v>
      </c>
      <c r="G12">
        <v>4</v>
      </c>
      <c r="H12">
        <v>24000</v>
      </c>
      <c r="I12">
        <v>0.1</v>
      </c>
      <c r="J12" t="s">
        <v>72</v>
      </c>
      <c r="K12">
        <v>86400</v>
      </c>
      <c r="L12">
        <v>58752</v>
      </c>
      <c r="M12">
        <v>27648</v>
      </c>
      <c r="N12">
        <v>0.32</v>
      </c>
      <c r="O12">
        <v>10</v>
      </c>
      <c r="P12" t="s">
        <v>29</v>
      </c>
      <c r="Q12">
        <v>2026</v>
      </c>
    </row>
    <row r="13" spans="1:17" x14ac:dyDescent="0.3">
      <c r="A13" t="s">
        <v>212</v>
      </c>
      <c r="B13" s="5">
        <v>46046</v>
      </c>
      <c r="C13" t="s">
        <v>167</v>
      </c>
      <c r="D13" t="s">
        <v>19</v>
      </c>
      <c r="E13" t="s">
        <v>20</v>
      </c>
      <c r="F13" t="s">
        <v>103</v>
      </c>
      <c r="G13">
        <v>3</v>
      </c>
      <c r="H13">
        <v>22000</v>
      </c>
      <c r="I13">
        <v>0.15</v>
      </c>
      <c r="J13" t="s">
        <v>22</v>
      </c>
      <c r="K13">
        <v>56100</v>
      </c>
      <c r="L13">
        <v>40392</v>
      </c>
      <c r="M13">
        <v>15708</v>
      </c>
      <c r="N13">
        <v>0.28000000000000003</v>
      </c>
      <c r="O13">
        <v>1</v>
      </c>
      <c r="P13" t="s">
        <v>92</v>
      </c>
      <c r="Q13">
        <v>2026</v>
      </c>
    </row>
    <row r="14" spans="1:17" x14ac:dyDescent="0.3">
      <c r="A14" t="s">
        <v>208</v>
      </c>
      <c r="B14" s="5">
        <v>46161</v>
      </c>
      <c r="C14" t="s">
        <v>201</v>
      </c>
      <c r="D14" t="s">
        <v>19</v>
      </c>
      <c r="E14" t="s">
        <v>26</v>
      </c>
      <c r="F14" t="s">
        <v>51</v>
      </c>
      <c r="G14">
        <v>2</v>
      </c>
      <c r="H14">
        <v>5500</v>
      </c>
      <c r="I14">
        <v>0</v>
      </c>
      <c r="J14" t="s">
        <v>28</v>
      </c>
      <c r="K14">
        <v>11000</v>
      </c>
      <c r="L14">
        <v>7480</v>
      </c>
      <c r="M14">
        <v>3520</v>
      </c>
      <c r="N14">
        <v>0.32</v>
      </c>
      <c r="O14">
        <v>5</v>
      </c>
      <c r="P14" t="s">
        <v>52</v>
      </c>
      <c r="Q14">
        <v>2026</v>
      </c>
    </row>
    <row r="15" spans="1:17" x14ac:dyDescent="0.3">
      <c r="A15" t="s">
        <v>202</v>
      </c>
      <c r="B15" s="5">
        <v>46166</v>
      </c>
      <c r="C15" t="s">
        <v>203</v>
      </c>
      <c r="D15" t="s">
        <v>19</v>
      </c>
      <c r="E15" t="s">
        <v>33</v>
      </c>
      <c r="F15" t="s">
        <v>121</v>
      </c>
      <c r="G15">
        <v>5</v>
      </c>
      <c r="H15">
        <v>900</v>
      </c>
      <c r="I15">
        <v>0</v>
      </c>
      <c r="J15" t="s">
        <v>28</v>
      </c>
      <c r="K15">
        <v>4500</v>
      </c>
      <c r="L15">
        <v>2790</v>
      </c>
      <c r="M15">
        <v>1710</v>
      </c>
      <c r="N15">
        <v>0.38</v>
      </c>
      <c r="O15">
        <v>5</v>
      </c>
      <c r="P15" t="s">
        <v>52</v>
      </c>
      <c r="Q15">
        <v>2026</v>
      </c>
    </row>
    <row r="16" spans="1:17" x14ac:dyDescent="0.3">
      <c r="A16" t="s">
        <v>64</v>
      </c>
      <c r="B16" s="5">
        <v>46321</v>
      </c>
      <c r="C16" t="s">
        <v>65</v>
      </c>
      <c r="D16" t="s">
        <v>19</v>
      </c>
      <c r="E16" t="s">
        <v>26</v>
      </c>
      <c r="F16" t="s">
        <v>51</v>
      </c>
      <c r="G16">
        <v>2</v>
      </c>
      <c r="H16">
        <v>5500</v>
      </c>
      <c r="I16">
        <v>0.05</v>
      </c>
      <c r="J16" t="s">
        <v>22</v>
      </c>
      <c r="K16">
        <v>10450</v>
      </c>
      <c r="L16">
        <v>7106</v>
      </c>
      <c r="M16">
        <v>3344</v>
      </c>
      <c r="N16">
        <v>0.32</v>
      </c>
      <c r="O16">
        <v>10</v>
      </c>
      <c r="P16" t="s">
        <v>29</v>
      </c>
      <c r="Q16">
        <v>2026</v>
      </c>
    </row>
    <row r="17" spans="1:17" x14ac:dyDescent="0.3">
      <c r="A17" t="s">
        <v>194</v>
      </c>
      <c r="B17" s="5">
        <v>46200</v>
      </c>
      <c r="C17" t="s">
        <v>118</v>
      </c>
      <c r="D17" t="s">
        <v>19</v>
      </c>
      <c r="E17" t="s">
        <v>33</v>
      </c>
      <c r="F17" t="s">
        <v>37</v>
      </c>
      <c r="G17">
        <v>3</v>
      </c>
      <c r="H17">
        <v>3200</v>
      </c>
      <c r="I17">
        <v>0</v>
      </c>
      <c r="J17" t="s">
        <v>41</v>
      </c>
      <c r="K17">
        <v>9600</v>
      </c>
      <c r="L17">
        <v>5952</v>
      </c>
      <c r="M17">
        <v>3648</v>
      </c>
      <c r="N17">
        <v>0.38</v>
      </c>
      <c r="O17">
        <v>6</v>
      </c>
      <c r="P17" t="s">
        <v>61</v>
      </c>
      <c r="Q17">
        <v>2026</v>
      </c>
    </row>
    <row r="18" spans="1:17" x14ac:dyDescent="0.3">
      <c r="A18" t="s">
        <v>193</v>
      </c>
      <c r="B18" s="5">
        <v>46061</v>
      </c>
      <c r="C18" t="s">
        <v>44</v>
      </c>
      <c r="D18" t="s">
        <v>19</v>
      </c>
      <c r="E18" t="s">
        <v>33</v>
      </c>
      <c r="F18" t="s">
        <v>55</v>
      </c>
      <c r="G18">
        <v>1</v>
      </c>
      <c r="H18">
        <v>1800</v>
      </c>
      <c r="I18">
        <v>0.15</v>
      </c>
      <c r="J18" t="s">
        <v>22</v>
      </c>
      <c r="K18">
        <v>1530</v>
      </c>
      <c r="L18">
        <v>948.6</v>
      </c>
      <c r="M18">
        <v>581.4</v>
      </c>
      <c r="N18">
        <v>0.38</v>
      </c>
      <c r="O18">
        <v>2</v>
      </c>
      <c r="P18" t="s">
        <v>42</v>
      </c>
      <c r="Q18">
        <v>2026</v>
      </c>
    </row>
    <row r="19" spans="1:17" x14ac:dyDescent="0.3">
      <c r="A19" t="s">
        <v>189</v>
      </c>
      <c r="B19" s="5">
        <v>46311</v>
      </c>
      <c r="C19" t="s">
        <v>190</v>
      </c>
      <c r="D19" t="s">
        <v>19</v>
      </c>
      <c r="E19" t="s">
        <v>20</v>
      </c>
      <c r="F19" t="s">
        <v>45</v>
      </c>
      <c r="G19">
        <v>3</v>
      </c>
      <c r="H19">
        <v>6000</v>
      </c>
      <c r="I19">
        <v>0.05</v>
      </c>
      <c r="J19" t="s">
        <v>28</v>
      </c>
      <c r="K19">
        <v>17100</v>
      </c>
      <c r="L19">
        <v>12312</v>
      </c>
      <c r="M19">
        <v>4788</v>
      </c>
      <c r="N19">
        <v>0.28000000000000003</v>
      </c>
      <c r="O19">
        <v>10</v>
      </c>
      <c r="P19" t="s">
        <v>29</v>
      </c>
      <c r="Q19">
        <v>2026</v>
      </c>
    </row>
    <row r="20" spans="1:17" x14ac:dyDescent="0.3">
      <c r="A20" t="s">
        <v>186</v>
      </c>
      <c r="B20" s="5">
        <v>46263</v>
      </c>
      <c r="C20" t="s">
        <v>187</v>
      </c>
      <c r="D20" t="s">
        <v>19</v>
      </c>
      <c r="E20" t="s">
        <v>20</v>
      </c>
      <c r="F20" t="s">
        <v>103</v>
      </c>
      <c r="G20">
        <v>1</v>
      </c>
      <c r="H20">
        <v>22000</v>
      </c>
      <c r="I20">
        <v>0.05</v>
      </c>
      <c r="J20" t="s">
        <v>22</v>
      </c>
      <c r="K20">
        <v>20900</v>
      </c>
      <c r="L20">
        <v>15048</v>
      </c>
      <c r="M20">
        <v>5852</v>
      </c>
      <c r="N20">
        <v>0.28000000000000003</v>
      </c>
      <c r="O20">
        <v>8</v>
      </c>
      <c r="P20" t="s">
        <v>98</v>
      </c>
      <c r="Q20">
        <v>2026</v>
      </c>
    </row>
    <row r="21" spans="1:17" x14ac:dyDescent="0.3">
      <c r="A21" t="s">
        <v>180</v>
      </c>
      <c r="B21" s="5">
        <v>46262</v>
      </c>
      <c r="C21" t="s">
        <v>181</v>
      </c>
      <c r="D21" t="s">
        <v>19</v>
      </c>
      <c r="E21" t="s">
        <v>20</v>
      </c>
      <c r="F21" t="s">
        <v>103</v>
      </c>
      <c r="G21">
        <v>5</v>
      </c>
      <c r="H21">
        <v>22000</v>
      </c>
      <c r="I21">
        <v>0</v>
      </c>
      <c r="J21" t="s">
        <v>22</v>
      </c>
      <c r="K21">
        <v>110000</v>
      </c>
      <c r="L21">
        <v>79200</v>
      </c>
      <c r="M21">
        <v>30800</v>
      </c>
      <c r="N21">
        <v>0.28000000000000003</v>
      </c>
      <c r="O21">
        <v>8</v>
      </c>
      <c r="P21" t="s">
        <v>98</v>
      </c>
      <c r="Q21">
        <v>2026</v>
      </c>
    </row>
    <row r="22" spans="1:17" x14ac:dyDescent="0.3">
      <c r="A22" t="s">
        <v>160</v>
      </c>
      <c r="B22" s="5">
        <v>46070</v>
      </c>
      <c r="C22" t="s">
        <v>161</v>
      </c>
      <c r="D22" t="s">
        <v>19</v>
      </c>
      <c r="E22" t="s">
        <v>20</v>
      </c>
      <c r="F22" t="s">
        <v>132</v>
      </c>
      <c r="G22">
        <v>2</v>
      </c>
      <c r="H22">
        <v>3500</v>
      </c>
      <c r="I22">
        <v>0.05</v>
      </c>
      <c r="J22" t="s">
        <v>28</v>
      </c>
      <c r="K22">
        <v>6650</v>
      </c>
      <c r="L22">
        <v>4788</v>
      </c>
      <c r="M22">
        <v>1862</v>
      </c>
      <c r="N22">
        <v>0.28000000000000003</v>
      </c>
      <c r="O22">
        <v>2</v>
      </c>
      <c r="P22" t="s">
        <v>42</v>
      </c>
      <c r="Q22">
        <v>2026</v>
      </c>
    </row>
    <row r="23" spans="1:17" x14ac:dyDescent="0.3">
      <c r="A23" t="s">
        <v>150</v>
      </c>
      <c r="B23" s="5">
        <v>46333</v>
      </c>
      <c r="C23" t="s">
        <v>151</v>
      </c>
      <c r="D23" t="s">
        <v>19</v>
      </c>
      <c r="E23" t="s">
        <v>33</v>
      </c>
      <c r="F23" t="s">
        <v>83</v>
      </c>
      <c r="G23">
        <v>4</v>
      </c>
      <c r="H23">
        <v>2500</v>
      </c>
      <c r="I23">
        <v>0.1</v>
      </c>
      <c r="J23" t="s">
        <v>41</v>
      </c>
      <c r="K23">
        <v>9000</v>
      </c>
      <c r="L23">
        <v>5580</v>
      </c>
      <c r="M23">
        <v>3420</v>
      </c>
      <c r="N23">
        <v>0.38</v>
      </c>
      <c r="O23">
        <v>11</v>
      </c>
      <c r="P23" t="s">
        <v>23</v>
      </c>
      <c r="Q23">
        <v>2026</v>
      </c>
    </row>
    <row r="24" spans="1:17" x14ac:dyDescent="0.3">
      <c r="A24" t="s">
        <v>135</v>
      </c>
      <c r="B24" s="5">
        <v>46105</v>
      </c>
      <c r="C24" t="s">
        <v>136</v>
      </c>
      <c r="D24" t="s">
        <v>19</v>
      </c>
      <c r="E24" t="s">
        <v>33</v>
      </c>
      <c r="F24" t="s">
        <v>37</v>
      </c>
      <c r="G24">
        <v>5</v>
      </c>
      <c r="H24">
        <v>3200</v>
      </c>
      <c r="I24">
        <v>0.15</v>
      </c>
      <c r="J24" t="s">
        <v>22</v>
      </c>
      <c r="K24">
        <v>13600</v>
      </c>
      <c r="L24">
        <v>8432</v>
      </c>
      <c r="M24">
        <v>5168</v>
      </c>
      <c r="N24">
        <v>0.38</v>
      </c>
      <c r="O24">
        <v>3</v>
      </c>
      <c r="P24" t="s">
        <v>38</v>
      </c>
      <c r="Q24">
        <v>2026</v>
      </c>
    </row>
    <row r="25" spans="1:17" x14ac:dyDescent="0.3">
      <c r="A25" t="s">
        <v>122</v>
      </c>
      <c r="B25" s="5">
        <v>46184</v>
      </c>
      <c r="C25" t="s">
        <v>123</v>
      </c>
      <c r="D25" t="s">
        <v>19</v>
      </c>
      <c r="E25" t="s">
        <v>20</v>
      </c>
      <c r="F25" t="s">
        <v>21</v>
      </c>
      <c r="G25">
        <v>4</v>
      </c>
      <c r="H25">
        <v>55000</v>
      </c>
      <c r="I25">
        <v>0.1</v>
      </c>
      <c r="J25" t="s">
        <v>28</v>
      </c>
      <c r="K25">
        <v>198000</v>
      </c>
      <c r="L25">
        <v>142560</v>
      </c>
      <c r="M25">
        <v>55440</v>
      </c>
      <c r="N25">
        <v>0.28000000000000003</v>
      </c>
      <c r="O25">
        <v>6</v>
      </c>
      <c r="P25" t="s">
        <v>61</v>
      </c>
      <c r="Q25">
        <v>2026</v>
      </c>
    </row>
    <row r="26" spans="1:17" x14ac:dyDescent="0.3">
      <c r="A26" t="s">
        <v>90</v>
      </c>
      <c r="B26" s="5">
        <v>46026</v>
      </c>
      <c r="C26" t="s">
        <v>91</v>
      </c>
      <c r="D26" t="s">
        <v>19</v>
      </c>
      <c r="E26" t="s">
        <v>20</v>
      </c>
      <c r="F26" t="s">
        <v>21</v>
      </c>
      <c r="G26">
        <v>2</v>
      </c>
      <c r="H26">
        <v>55000</v>
      </c>
      <c r="I26">
        <v>0</v>
      </c>
      <c r="J26" t="s">
        <v>28</v>
      </c>
      <c r="K26">
        <v>110000</v>
      </c>
      <c r="L26">
        <v>79200</v>
      </c>
      <c r="M26">
        <v>30800</v>
      </c>
      <c r="N26">
        <v>0.28000000000000003</v>
      </c>
      <c r="O26">
        <v>1</v>
      </c>
      <c r="P26" t="s">
        <v>92</v>
      </c>
      <c r="Q26">
        <v>2026</v>
      </c>
    </row>
    <row r="27" spans="1:17" x14ac:dyDescent="0.3">
      <c r="A27" t="s">
        <v>113</v>
      </c>
      <c r="B27" s="5">
        <v>46048</v>
      </c>
      <c r="C27" t="s">
        <v>114</v>
      </c>
      <c r="D27" t="s">
        <v>19</v>
      </c>
      <c r="E27" t="s">
        <v>33</v>
      </c>
      <c r="F27" t="s">
        <v>37</v>
      </c>
      <c r="G27">
        <v>5</v>
      </c>
      <c r="H27">
        <v>3200</v>
      </c>
      <c r="I27">
        <v>0.1</v>
      </c>
      <c r="J27" t="s">
        <v>28</v>
      </c>
      <c r="K27">
        <v>14400</v>
      </c>
      <c r="L27">
        <v>8928</v>
      </c>
      <c r="M27">
        <v>5472</v>
      </c>
      <c r="N27">
        <v>0.38</v>
      </c>
      <c r="O27">
        <v>1</v>
      </c>
      <c r="P27" t="s">
        <v>92</v>
      </c>
      <c r="Q27">
        <v>2026</v>
      </c>
    </row>
    <row r="28" spans="1:17" x14ac:dyDescent="0.3">
      <c r="A28" t="s">
        <v>107</v>
      </c>
      <c r="B28" s="5">
        <v>46144</v>
      </c>
      <c r="C28" t="s">
        <v>108</v>
      </c>
      <c r="D28" t="s">
        <v>19</v>
      </c>
      <c r="E28" t="s">
        <v>20</v>
      </c>
      <c r="F28" t="s">
        <v>45</v>
      </c>
      <c r="G28">
        <v>4</v>
      </c>
      <c r="H28">
        <v>6000</v>
      </c>
      <c r="I28">
        <v>0.1</v>
      </c>
      <c r="J28" t="s">
        <v>28</v>
      </c>
      <c r="K28">
        <v>21600</v>
      </c>
      <c r="L28">
        <v>15552</v>
      </c>
      <c r="M28">
        <v>6048</v>
      </c>
      <c r="N28">
        <v>0.28000000000000003</v>
      </c>
      <c r="O28">
        <v>5</v>
      </c>
      <c r="P28" t="s">
        <v>52</v>
      </c>
      <c r="Q28">
        <v>2026</v>
      </c>
    </row>
    <row r="29" spans="1:17" x14ac:dyDescent="0.3">
      <c r="A29" t="s">
        <v>99</v>
      </c>
      <c r="B29" s="5">
        <v>46262</v>
      </c>
      <c r="C29" t="s">
        <v>100</v>
      </c>
      <c r="D29" t="s">
        <v>19</v>
      </c>
      <c r="E29" t="s">
        <v>33</v>
      </c>
      <c r="F29" t="s">
        <v>83</v>
      </c>
      <c r="G29">
        <v>1</v>
      </c>
      <c r="H29">
        <v>2500</v>
      </c>
      <c r="I29">
        <v>0</v>
      </c>
      <c r="J29" t="s">
        <v>28</v>
      </c>
      <c r="K29">
        <v>2500</v>
      </c>
      <c r="L29">
        <v>1550</v>
      </c>
      <c r="M29">
        <v>950</v>
      </c>
      <c r="N29">
        <v>0.38</v>
      </c>
      <c r="O29">
        <v>8</v>
      </c>
      <c r="P29" t="s">
        <v>98</v>
      </c>
      <c r="Q29">
        <v>2026</v>
      </c>
    </row>
    <row r="30" spans="1:17" x14ac:dyDescent="0.3">
      <c r="A30" t="s">
        <v>105</v>
      </c>
      <c r="B30" s="5">
        <v>46150</v>
      </c>
      <c r="C30" t="s">
        <v>106</v>
      </c>
      <c r="D30" t="s">
        <v>19</v>
      </c>
      <c r="E30" t="s">
        <v>20</v>
      </c>
      <c r="F30" t="s">
        <v>45</v>
      </c>
      <c r="G30">
        <v>5</v>
      </c>
      <c r="H30">
        <v>6000</v>
      </c>
      <c r="I30">
        <v>0</v>
      </c>
      <c r="J30" t="s">
        <v>22</v>
      </c>
      <c r="K30">
        <v>30000</v>
      </c>
      <c r="L30">
        <v>21600</v>
      </c>
      <c r="M30">
        <v>8400</v>
      </c>
      <c r="N30">
        <v>0.28000000000000003</v>
      </c>
      <c r="O30">
        <v>5</v>
      </c>
      <c r="P30" t="s">
        <v>52</v>
      </c>
      <c r="Q30">
        <v>2026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FE9B8-42A9-4260-9616-090123C79675}">
  <dimension ref="A1:N34"/>
  <sheetViews>
    <sheetView tabSelected="1" topLeftCell="A11" zoomScale="61" zoomScaleNormal="63" workbookViewId="0">
      <selection activeCell="M9" sqref="M9"/>
    </sheetView>
  </sheetViews>
  <sheetFormatPr defaultRowHeight="14.4" x14ac:dyDescent="0.3"/>
  <cols>
    <col min="1" max="1" width="12.109375" bestFit="1" customWidth="1"/>
    <col min="2" max="2" width="12.88671875" bestFit="1" customWidth="1"/>
    <col min="3" max="3" width="13.5546875" bestFit="1" customWidth="1"/>
    <col min="4" max="4" width="13" bestFit="1" customWidth="1"/>
    <col min="5" max="5" width="12.88671875" bestFit="1" customWidth="1"/>
    <col min="7" max="7" width="12.109375" bestFit="1" customWidth="1"/>
    <col min="8" max="8" width="12.88671875" bestFit="1" customWidth="1"/>
    <col min="9" max="9" width="11.6640625" bestFit="1" customWidth="1"/>
    <col min="10" max="10" width="12.5546875" bestFit="1" customWidth="1"/>
    <col min="11" max="11" width="18.44140625" customWidth="1"/>
    <col min="12" max="12" width="12.109375" bestFit="1" customWidth="1"/>
  </cols>
  <sheetData>
    <row r="1" spans="1:14" x14ac:dyDescent="0.3">
      <c r="D1" t="s">
        <v>234</v>
      </c>
      <c r="N1" t="s">
        <v>236</v>
      </c>
    </row>
    <row r="2" spans="1:14" ht="15" thickBot="1" x14ac:dyDescent="0.35"/>
    <row r="3" spans="1:14" ht="19.2" thickBot="1" x14ac:dyDescent="0.5">
      <c r="A3" s="40" t="s">
        <v>14</v>
      </c>
      <c r="B3" s="13" t="s">
        <v>233</v>
      </c>
      <c r="D3" s="13" t="s">
        <v>4</v>
      </c>
      <c r="E3" s="13" t="s">
        <v>235</v>
      </c>
      <c r="G3" s="49" t="e" vm="1">
        <v>#VALUE!</v>
      </c>
      <c r="K3" s="3" t="s">
        <v>238</v>
      </c>
    </row>
    <row r="4" spans="1:14" ht="19.2" thickBot="1" x14ac:dyDescent="0.5">
      <c r="A4" s="12">
        <v>1</v>
      </c>
      <c r="B4" s="44">
        <v>234000</v>
      </c>
      <c r="D4" s="14" t="s">
        <v>33</v>
      </c>
      <c r="E4" s="14">
        <v>75260.899999999994</v>
      </c>
      <c r="K4" s="4">
        <f>SUM(Clean_Data!K:K)</f>
        <v>3537815</v>
      </c>
    </row>
    <row r="5" spans="1:14" ht="15.6" x14ac:dyDescent="0.3">
      <c r="A5" s="12">
        <v>2</v>
      </c>
      <c r="B5" s="45">
        <v>334730</v>
      </c>
      <c r="D5" s="15" t="s">
        <v>20</v>
      </c>
      <c r="E5" s="15">
        <v>741321</v>
      </c>
    </row>
    <row r="6" spans="1:14" ht="16.2" thickBot="1" x14ac:dyDescent="0.35">
      <c r="A6" s="12">
        <v>3</v>
      </c>
      <c r="B6" s="45">
        <v>60925</v>
      </c>
      <c r="D6" s="16" t="s">
        <v>26</v>
      </c>
      <c r="E6" s="15">
        <v>221499.2</v>
      </c>
    </row>
    <row r="7" spans="1:14" ht="19.2" thickBot="1" x14ac:dyDescent="0.5">
      <c r="A7" s="12">
        <v>4</v>
      </c>
      <c r="B7" s="45">
        <v>367900</v>
      </c>
      <c r="D7" s="13" t="s">
        <v>232</v>
      </c>
      <c r="E7" s="46">
        <v>1038081.1000000001</v>
      </c>
      <c r="K7" s="3" t="s">
        <v>239</v>
      </c>
    </row>
    <row r="8" spans="1:14" ht="19.2" thickBot="1" x14ac:dyDescent="0.5">
      <c r="A8" s="12">
        <v>5</v>
      </c>
      <c r="B8" s="45">
        <v>689660</v>
      </c>
      <c r="K8" s="4">
        <f>SUM(Clean_Data!M:M)</f>
        <v>1038081.1000000001</v>
      </c>
    </row>
    <row r="9" spans="1:14" ht="15" thickBot="1" x14ac:dyDescent="0.35">
      <c r="A9" s="12">
        <v>6</v>
      </c>
      <c r="B9" s="45">
        <v>382225</v>
      </c>
    </row>
    <row r="10" spans="1:14" ht="19.2" thickBot="1" x14ac:dyDescent="0.5">
      <c r="A10" s="12">
        <v>7</v>
      </c>
      <c r="B10" s="45">
        <v>153940</v>
      </c>
      <c r="D10" s="13" t="s">
        <v>4</v>
      </c>
      <c r="E10" s="13" t="s">
        <v>233</v>
      </c>
      <c r="G10" s="41" t="s">
        <v>3</v>
      </c>
      <c r="H10" s="13" t="s">
        <v>233</v>
      </c>
      <c r="K10" s="3" t="s">
        <v>240</v>
      </c>
    </row>
    <row r="11" spans="1:14" ht="19.2" thickBot="1" x14ac:dyDescent="0.5">
      <c r="A11" s="12">
        <v>8</v>
      </c>
      <c r="B11" s="45">
        <v>287525</v>
      </c>
      <c r="D11" s="14" t="s">
        <v>33</v>
      </c>
      <c r="E11" s="14">
        <v>198055</v>
      </c>
      <c r="G11" s="42" t="s">
        <v>32</v>
      </c>
      <c r="H11" s="47">
        <v>732560</v>
      </c>
      <c r="K11" s="4">
        <f>COUNTA(Clean_Data!A:A)-1</f>
        <v>100</v>
      </c>
    </row>
    <row r="12" spans="1:14" ht="16.2" thickBot="1" x14ac:dyDescent="0.35">
      <c r="A12" s="12">
        <v>9</v>
      </c>
      <c r="B12" s="45">
        <v>346080</v>
      </c>
      <c r="D12" s="15" t="s">
        <v>20</v>
      </c>
      <c r="E12" s="15">
        <v>2647575</v>
      </c>
      <c r="G12" s="42" t="s">
        <v>19</v>
      </c>
      <c r="H12" s="48">
        <v>1405180</v>
      </c>
    </row>
    <row r="13" spans="1:14" ht="19.2" thickBot="1" x14ac:dyDescent="0.5">
      <c r="A13" s="12">
        <v>10</v>
      </c>
      <c r="B13" s="45">
        <v>245745</v>
      </c>
      <c r="D13" s="16" t="s">
        <v>26</v>
      </c>
      <c r="E13" s="15">
        <v>692185</v>
      </c>
      <c r="G13" s="42" t="s">
        <v>58</v>
      </c>
      <c r="H13" s="48">
        <v>470425</v>
      </c>
      <c r="K13" s="3" t="s">
        <v>241</v>
      </c>
    </row>
    <row r="14" spans="1:14" ht="19.2" thickBot="1" x14ac:dyDescent="0.5">
      <c r="A14" s="12">
        <v>11</v>
      </c>
      <c r="B14" s="45">
        <v>308830</v>
      </c>
      <c r="D14" s="13" t="s">
        <v>232</v>
      </c>
      <c r="E14" s="46">
        <v>3537815</v>
      </c>
      <c r="G14" s="42" t="s">
        <v>54</v>
      </c>
      <c r="H14" s="48">
        <v>929650</v>
      </c>
      <c r="K14" s="4">
        <f>SUM(Clean_Data!G:G)</f>
        <v>298</v>
      </c>
    </row>
    <row r="15" spans="1:14" ht="16.2" thickBot="1" x14ac:dyDescent="0.35">
      <c r="A15" s="12">
        <v>12</v>
      </c>
      <c r="B15" s="45">
        <v>126255</v>
      </c>
      <c r="G15" s="13" t="s">
        <v>232</v>
      </c>
      <c r="H15" s="46">
        <v>3537815</v>
      </c>
    </row>
    <row r="16" spans="1:14" ht="19.2" thickBot="1" x14ac:dyDescent="0.5">
      <c r="A16" s="13" t="s">
        <v>232</v>
      </c>
      <c r="B16" s="46">
        <v>3537815</v>
      </c>
      <c r="K16" s="3" t="s">
        <v>242</v>
      </c>
    </row>
    <row r="17" spans="4:11" ht="19.2" thickBot="1" x14ac:dyDescent="0.5">
      <c r="D17" s="40" t="s">
        <v>3</v>
      </c>
      <c r="E17" s="13" t="s">
        <v>233</v>
      </c>
      <c r="K17" s="43">
        <f>SUM(Clean_Data!M:M)/SUM(Clean_Data!K:K)</f>
        <v>0.29342435938566602</v>
      </c>
    </row>
    <row r="18" spans="4:11" ht="15.6" x14ac:dyDescent="0.3">
      <c r="D18" s="42" t="s">
        <v>32</v>
      </c>
      <c r="E18" s="47">
        <v>732560</v>
      </c>
    </row>
    <row r="19" spans="4:11" ht="15.6" x14ac:dyDescent="0.3">
      <c r="D19" s="42" t="s">
        <v>19</v>
      </c>
      <c r="E19" s="48">
        <v>1405180</v>
      </c>
    </row>
    <row r="20" spans="4:11" ht="15.6" x14ac:dyDescent="0.3">
      <c r="D20" s="42" t="s">
        <v>58</v>
      </c>
      <c r="E20" s="48">
        <v>470425</v>
      </c>
    </row>
    <row r="21" spans="4:11" ht="16.2" thickBot="1" x14ac:dyDescent="0.35">
      <c r="D21" s="42" t="s">
        <v>54</v>
      </c>
      <c r="E21" s="48">
        <v>929650</v>
      </c>
    </row>
    <row r="22" spans="4:11" ht="16.2" thickBot="1" x14ac:dyDescent="0.35">
      <c r="D22" s="13" t="s">
        <v>232</v>
      </c>
      <c r="E22" s="46">
        <v>3537815</v>
      </c>
    </row>
    <row r="24" spans="4:11" ht="15.6" x14ac:dyDescent="0.3"/>
    <row r="25" spans="4:11" ht="15.6" x14ac:dyDescent="0.3"/>
    <row r="26" spans="4:11" ht="15.6" x14ac:dyDescent="0.3"/>
    <row r="27" spans="4:11" ht="15.6" x14ac:dyDescent="0.3"/>
    <row r="28" spans="4:11" ht="15.6" x14ac:dyDescent="0.3"/>
    <row r="29" spans="4:11" ht="15.6" x14ac:dyDescent="0.3"/>
    <row r="30" spans="4:11" ht="15.6" x14ac:dyDescent="0.3">
      <c r="H30" t="s">
        <v>237</v>
      </c>
    </row>
    <row r="31" spans="4:11" ht="15.6" x14ac:dyDescent="0.3"/>
    <row r="32" spans="4:11" ht="15.6" x14ac:dyDescent="0.3"/>
    <row r="33" ht="15.6" x14ac:dyDescent="0.3"/>
    <row r="34" ht="16.2" thickBot="1" x14ac:dyDescent="0.35"/>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11F0-553C-4F0A-A30C-C304F319C262}">
  <dimension ref="B1:X26"/>
  <sheetViews>
    <sheetView showGridLines="0" showRowColHeaders="0" topLeftCell="A6" zoomScale="58" zoomScaleNormal="38" workbookViewId="0">
      <selection activeCell="X19" sqref="X19"/>
    </sheetView>
  </sheetViews>
  <sheetFormatPr defaultRowHeight="14.4" x14ac:dyDescent="0.3"/>
  <cols>
    <col min="1" max="1" width="1.5546875" customWidth="1"/>
    <col min="2" max="2" width="32.5546875" customWidth="1"/>
    <col min="3" max="3" width="3.21875" customWidth="1"/>
    <col min="4" max="4" width="35.77734375" customWidth="1"/>
    <col min="5" max="5" width="4.88671875" customWidth="1"/>
    <col min="6" max="6" width="27.6640625" customWidth="1"/>
    <col min="7" max="7" width="2.77734375" customWidth="1"/>
    <col min="8" max="8" width="27.77734375" customWidth="1"/>
    <col min="9" max="9" width="3.5546875" customWidth="1"/>
    <col min="10" max="10" width="29.33203125" customWidth="1"/>
    <col min="18" max="18" width="11.21875" customWidth="1"/>
  </cols>
  <sheetData>
    <row r="1" spans="2:24" hidden="1" x14ac:dyDescent="0.3"/>
    <row r="2" spans="2:24" ht="0.6" customHeight="1" x14ac:dyDescent="0.3"/>
    <row r="3" spans="2:24" ht="58.2" customHeight="1" x14ac:dyDescent="1.3">
      <c r="E3" s="17" t="s">
        <v>244</v>
      </c>
      <c r="F3" s="17"/>
      <c r="G3" s="17"/>
      <c r="H3" s="17"/>
      <c r="I3" s="17"/>
      <c r="J3" s="17"/>
      <c r="K3" s="18"/>
      <c r="L3" s="18"/>
      <c r="M3" s="18"/>
    </row>
    <row r="4" spans="2:24" ht="15" thickBot="1" x14ac:dyDescent="0.35"/>
    <row r="5" spans="2:24" ht="21" x14ac:dyDescent="0.5">
      <c r="B5" s="10" t="s">
        <v>238</v>
      </c>
      <c r="D5" s="8" t="s">
        <v>239</v>
      </c>
      <c r="F5" s="8" t="s">
        <v>240</v>
      </c>
      <c r="H5" s="3" t="s">
        <v>241</v>
      </c>
      <c r="J5" s="3" t="s">
        <v>242</v>
      </c>
    </row>
    <row r="6" spans="2:24" ht="21.6" thickBot="1" x14ac:dyDescent="0.55000000000000004">
      <c r="B6" s="21">
        <f>SUM(Clean_Data!K:K)</f>
        <v>3537815</v>
      </c>
      <c r="D6" s="22">
        <f>SUM(Clean_Data!M:M)</f>
        <v>1038081.1000000001</v>
      </c>
      <c r="F6" s="9">
        <f>COUNTA(Clean_Data!A:A)-1</f>
        <v>100</v>
      </c>
      <c r="H6" s="11">
        <f>SUM(Clean_Data!G:G)</f>
        <v>298</v>
      </c>
      <c r="J6" s="20">
        <f>SUM(Clean_Data!M:M)/SUM(Clean_Data!K:K)</f>
        <v>0.29342435938566602</v>
      </c>
      <c r="X6" s="19"/>
    </row>
    <row r="10" spans="2:24" ht="17.399999999999999" x14ac:dyDescent="0.45">
      <c r="C10" s="7"/>
    </row>
    <row r="26" ht="1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C0B6-EBC5-4C9F-A728-A42568084A2F}">
  <dimension ref="A3:I39"/>
  <sheetViews>
    <sheetView topLeftCell="A15" zoomScale="75" zoomScaleNormal="85" workbookViewId="0">
      <selection activeCell="M27" sqref="M27"/>
    </sheetView>
  </sheetViews>
  <sheetFormatPr defaultRowHeight="14.4" x14ac:dyDescent="0.3"/>
  <sheetData>
    <row r="3" spans="2:9" ht="43.8" x14ac:dyDescent="1.05">
      <c r="D3" s="23" t="s">
        <v>245</v>
      </c>
      <c r="E3" s="23"/>
      <c r="F3" s="23"/>
      <c r="G3" s="24"/>
      <c r="H3" s="24"/>
    </row>
    <row r="6" spans="2:9" ht="21" x14ac:dyDescent="0.5">
      <c r="B6" s="26" t="s">
        <v>246</v>
      </c>
      <c r="C6" s="27"/>
      <c r="D6" s="27"/>
      <c r="E6" s="28"/>
      <c r="F6" s="28"/>
      <c r="G6" s="29"/>
    </row>
    <row r="7" spans="2:9" ht="19.8" x14ac:dyDescent="0.4">
      <c r="B7" s="30" t="s">
        <v>254</v>
      </c>
      <c r="C7" s="30"/>
      <c r="D7" s="30"/>
      <c r="E7" s="30"/>
      <c r="F7" s="28"/>
      <c r="G7" s="29"/>
    </row>
    <row r="8" spans="2:9" ht="19.8" x14ac:dyDescent="0.4">
      <c r="B8" s="28"/>
      <c r="C8" s="28"/>
      <c r="D8" s="28"/>
      <c r="E8" s="28"/>
      <c r="F8" s="28"/>
      <c r="G8" s="29"/>
    </row>
    <row r="9" spans="2:9" ht="21" x14ac:dyDescent="0.5">
      <c r="B9" s="26" t="s">
        <v>247</v>
      </c>
      <c r="C9" s="27"/>
      <c r="D9" s="28"/>
      <c r="E9" s="28"/>
      <c r="F9" s="28"/>
      <c r="G9" s="29"/>
    </row>
    <row r="10" spans="2:9" ht="19.8" x14ac:dyDescent="0.4">
      <c r="B10" s="30" t="s">
        <v>255</v>
      </c>
      <c r="C10" s="30"/>
      <c r="D10" s="30"/>
      <c r="E10" s="30"/>
      <c r="F10" s="28"/>
      <c r="G10" s="29"/>
    </row>
    <row r="11" spans="2:9" ht="19.8" x14ac:dyDescent="0.4">
      <c r="B11" s="28"/>
      <c r="C11" s="28"/>
      <c r="D11" s="28"/>
      <c r="E11" s="28"/>
      <c r="F11" s="28"/>
      <c r="G11" s="29"/>
    </row>
    <row r="12" spans="2:9" ht="21" x14ac:dyDescent="0.5">
      <c r="B12" s="26" t="s">
        <v>248</v>
      </c>
      <c r="C12" s="27"/>
      <c r="D12" s="28"/>
      <c r="E12" s="28"/>
      <c r="F12" s="28"/>
      <c r="G12" s="29"/>
    </row>
    <row r="13" spans="2:9" ht="17.399999999999999" x14ac:dyDescent="0.3">
      <c r="B13" s="31" t="s">
        <v>256</v>
      </c>
      <c r="C13" s="30"/>
      <c r="D13" s="30"/>
      <c r="E13" s="30"/>
      <c r="F13" s="30"/>
      <c r="G13" s="30"/>
    </row>
    <row r="14" spans="2:9" ht="19.8" x14ac:dyDescent="0.4">
      <c r="B14" s="28"/>
      <c r="C14" s="28"/>
      <c r="D14" s="28"/>
      <c r="E14" s="28"/>
      <c r="F14" s="28"/>
      <c r="G14" s="29"/>
    </row>
    <row r="15" spans="2:9" ht="21" x14ac:dyDescent="0.5">
      <c r="B15" s="26" t="s">
        <v>249</v>
      </c>
      <c r="C15" s="27"/>
      <c r="D15" s="27"/>
      <c r="E15" s="28"/>
      <c r="F15" s="28"/>
      <c r="G15" s="29"/>
    </row>
    <row r="16" spans="2:9" ht="17.399999999999999" x14ac:dyDescent="0.3">
      <c r="B16" s="31" t="s">
        <v>257</v>
      </c>
      <c r="C16" s="30"/>
      <c r="D16" s="30"/>
      <c r="E16" s="30"/>
      <c r="F16" s="30"/>
      <c r="G16" s="30"/>
      <c r="H16" s="25"/>
      <c r="I16" s="25"/>
    </row>
    <row r="17" spans="2:8" ht="19.8" x14ac:dyDescent="0.4">
      <c r="B17" s="28"/>
      <c r="C17" s="28"/>
      <c r="D17" s="28"/>
      <c r="E17" s="28"/>
      <c r="F17" s="28"/>
      <c r="G17" s="29"/>
    </row>
    <row r="18" spans="2:8" ht="21" x14ac:dyDescent="0.5">
      <c r="B18" s="26" t="s">
        <v>250</v>
      </c>
      <c r="C18" s="27"/>
      <c r="D18" s="27"/>
      <c r="E18" s="27"/>
      <c r="F18" s="28"/>
      <c r="G18" s="29"/>
    </row>
    <row r="19" spans="2:8" ht="17.399999999999999" x14ac:dyDescent="0.3">
      <c r="B19" s="31" t="s">
        <v>258</v>
      </c>
      <c r="C19" s="30"/>
      <c r="D19" s="30"/>
      <c r="E19" s="30"/>
      <c r="F19" s="30"/>
      <c r="G19" s="30"/>
      <c r="H19" s="25"/>
    </row>
    <row r="20" spans="2:8" ht="19.8" x14ac:dyDescent="0.4">
      <c r="B20" s="28"/>
      <c r="C20" s="28"/>
      <c r="D20" s="28"/>
      <c r="E20" s="28"/>
      <c r="F20" s="28"/>
      <c r="G20" s="29"/>
    </row>
    <row r="21" spans="2:8" ht="21" x14ac:dyDescent="0.5">
      <c r="B21" s="26" t="s">
        <v>251</v>
      </c>
      <c r="C21" s="27"/>
      <c r="D21" s="28"/>
      <c r="E21" s="28"/>
      <c r="F21" s="28"/>
      <c r="G21" s="29"/>
    </row>
    <row r="22" spans="2:8" ht="17.399999999999999" x14ac:dyDescent="0.3">
      <c r="B22" s="31" t="s">
        <v>259</v>
      </c>
      <c r="C22" s="30"/>
      <c r="D22" s="30"/>
      <c r="E22" s="30"/>
      <c r="F22" s="30"/>
      <c r="G22" s="30"/>
    </row>
    <row r="23" spans="2:8" ht="19.8" x14ac:dyDescent="0.4">
      <c r="B23" s="28"/>
      <c r="C23" s="28"/>
      <c r="D23" s="28"/>
      <c r="E23" s="28"/>
      <c r="F23" s="28"/>
      <c r="G23" s="29"/>
    </row>
    <row r="24" spans="2:8" ht="21" x14ac:dyDescent="0.5">
      <c r="B24" s="26" t="s">
        <v>252</v>
      </c>
      <c r="C24" s="27"/>
      <c r="D24" s="27"/>
      <c r="E24" s="28"/>
      <c r="F24" s="28"/>
      <c r="G24" s="29"/>
    </row>
    <row r="25" spans="2:8" ht="17.399999999999999" x14ac:dyDescent="0.3">
      <c r="B25" s="31" t="s">
        <v>260</v>
      </c>
      <c r="C25" s="30"/>
      <c r="D25" s="30"/>
      <c r="E25" s="30"/>
      <c r="F25" s="30"/>
      <c r="G25" s="30"/>
    </row>
    <row r="26" spans="2:8" ht="19.8" x14ac:dyDescent="0.4">
      <c r="B26" s="28"/>
      <c r="C26" s="28"/>
      <c r="D26" s="28"/>
      <c r="E26" s="28"/>
      <c r="F26" s="28"/>
      <c r="G26" s="29"/>
    </row>
    <row r="27" spans="2:8" ht="21" x14ac:dyDescent="0.5">
      <c r="B27" s="26" t="s">
        <v>253</v>
      </c>
      <c r="C27" s="27"/>
      <c r="D27" s="27"/>
      <c r="E27" s="28"/>
      <c r="F27" s="28"/>
      <c r="G27" s="29"/>
    </row>
    <row r="28" spans="2:8" ht="18" x14ac:dyDescent="0.35">
      <c r="B28" s="30" t="s">
        <v>261</v>
      </c>
      <c r="C28" s="30"/>
      <c r="D28" s="30"/>
      <c r="E28" s="30"/>
      <c r="F28" s="30"/>
      <c r="G28" s="29"/>
    </row>
    <row r="32" spans="2:8" ht="25.2" x14ac:dyDescent="0.6">
      <c r="B32" s="36" t="s">
        <v>262</v>
      </c>
      <c r="C32" s="37"/>
      <c r="D32" s="37"/>
    </row>
    <row r="33" spans="1:6" x14ac:dyDescent="0.3">
      <c r="B33" s="32"/>
    </row>
    <row r="34" spans="1:6" ht="18" x14ac:dyDescent="0.3">
      <c r="A34" s="33"/>
      <c r="B34" s="38" t="s">
        <v>264</v>
      </c>
      <c r="C34" s="38"/>
      <c r="D34" s="38"/>
      <c r="E34" s="38"/>
      <c r="F34" s="39"/>
    </row>
    <row r="35" spans="1:6" ht="18" x14ac:dyDescent="0.3">
      <c r="B35" s="38" t="s">
        <v>265</v>
      </c>
      <c r="C35" s="38"/>
      <c r="D35" s="38"/>
      <c r="E35" s="38"/>
      <c r="F35" s="39"/>
    </row>
    <row r="36" spans="1:6" ht="18" x14ac:dyDescent="0.3">
      <c r="B36" s="38" t="s">
        <v>266</v>
      </c>
      <c r="C36" s="38"/>
      <c r="D36" s="38"/>
      <c r="E36" s="38"/>
      <c r="F36" s="39"/>
    </row>
    <row r="37" spans="1:6" ht="18" x14ac:dyDescent="0.3">
      <c r="B37" s="38" t="s">
        <v>267</v>
      </c>
      <c r="C37" s="38"/>
      <c r="D37" s="38"/>
      <c r="E37" s="38"/>
      <c r="F37" s="39"/>
    </row>
    <row r="38" spans="1:6" ht="18" x14ac:dyDescent="0.3">
      <c r="B38" s="38" t="s">
        <v>263</v>
      </c>
      <c r="C38" s="38"/>
      <c r="D38" s="38"/>
      <c r="E38" s="38"/>
      <c r="F38" s="39"/>
    </row>
    <row r="39" spans="1:6" x14ac:dyDescent="0.3">
      <c r="B39" s="34"/>
      <c r="C39" s="34"/>
      <c r="D39" s="34"/>
      <c r="E39" s="34"/>
      <c r="F39"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Detail1</vt:lpstr>
      <vt:lpstr>Pivot_Analysis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Rutuja Jagdale</cp:lastModifiedBy>
  <dcterms:created xsi:type="dcterms:W3CDTF">2026-10-03T06:37:30Z</dcterms:created>
  <dcterms:modified xsi:type="dcterms:W3CDTF">2026-10-12T15:10:46Z</dcterms:modified>
</cp:coreProperties>
</file>